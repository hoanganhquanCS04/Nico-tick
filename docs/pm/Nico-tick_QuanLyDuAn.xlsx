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Việc" sheetId="2" state="visible" r:id="rId2"/>
    <sheet name="Phân công" sheetId="3" state="visible" r:id="rId3"/>
    <sheet name="Ma trận" sheetId="4" state="visible" r:id="rId4"/>
    <sheet name="Rủi ro" sheetId="5" state="visible" r:id="rId5"/>
    <sheet name="Quyết định" sheetId="6" state="visible" r:id="rId6"/>
    <sheet name="Họp" sheetId="7" state="visible" r:id="rId7"/>
    <sheet name="Check-in" sheetId="8" state="visible" r:id="rId8"/>
    <sheet name="Hướng dẫn" sheetId="9" state="visible" r:id="rId9"/>
  </sheets>
  <definedNames>
    <definedName name="_xlnm._FilterDatabase" localSheetId="1" hidden="1">'Việc'!$A$1:$N$47</definedName>
    <definedName name="_xlnm._FilterDatabase" localSheetId="4" hidden="1">'Rủi ro'!$A$1:$L$13</definedName>
    <definedName name="_xlnm._FilterDatabase" localSheetId="5" hidden="1">'Quyết định'!$A$1:$I$22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" fontId="2" fillId="4" borderId="1" applyAlignment="1" pivotButton="0" quotePrefix="0" xfId="0">
      <alignment horizontal="center" vertical="top"/>
    </xf>
    <xf numFmtId="0" fontId="3" fillId="0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15">
    <dxf>
      <font>
        <b val="1"/>
        <color rgb="00C00000"/>
      </font>
      <fill>
        <patternFill patternType="solid">
          <fgColor rgb="00FDE2E1"/>
        </patternFill>
      </fill>
    </dxf>
    <dxf>
      <font>
        <color rgb="00808080"/>
      </font>
      <fill>
        <patternFill patternType="solid">
          <fgColor rgb="00F2F2F2"/>
        </patternFill>
      </fill>
    </dxf>
    <dxf>
      <font>
        <strike val="1"/>
        <color rgb="00A6A6A6"/>
      </font>
      <fill>
        <patternFill patternType="solid">
          <fgColor rgb="00F2F2F2"/>
        </patternFill>
      </fill>
    </dxf>
    <dxf>
      <fill>
        <patternFill patternType="solid">
          <fgColor rgb="00FDE2E1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</font>
      <fill>
        <patternFill patternType="solid">
          <fgColor rgb="00FFE699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FFFFFF"/>
      </font>
      <fill>
        <patternFill patternType="solid">
          <fgColor rgb="001F3864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E2EFDA"/>
        </patternFill>
      </fill>
    </dxf>
    <dxf>
      <font>
        <color rgb="00A6A6A6"/>
      </font>
    </dxf>
    <dxf>
      <font>
        <strike val="1"/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40" customWidth="1" min="4" max="4"/>
    <col width="46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Nico-tick — Tổng quan dự án</t>
        </is>
      </c>
    </row>
    <row r="2">
      <c r="A2" s="2" t="inlineStr">
        <is>
          <t>Hôm nay</t>
        </is>
      </c>
      <c r="B2" s="3">
        <f>TODAY()</f>
        <v/>
      </c>
      <c r="C2" s="4" t="inlineStr">
        <is>
          <t>Tab này tự tính từ tab Việc, đừng sửa. Cách dùng: xem tab Hướng dẫn.</t>
        </is>
      </c>
    </row>
    <row r="4">
      <c r="A4" s="5" t="inlineStr">
        <is>
          <t>Các mốc</t>
        </is>
      </c>
    </row>
    <row r="5" ht="30" customHeight="1">
      <c r="A5" s="6" t="inlineStr">
        <is>
          <t>Mốc</t>
        </is>
      </c>
      <c r="B5" s="6" t="inlineStr">
        <is>
          <t>Ngày</t>
        </is>
      </c>
      <c r="C5" s="7" t="inlineStr">
        <is>
          <t>Còn (ngày)</t>
        </is>
      </c>
      <c r="D5" s="6" t="inlineStr">
        <is>
          <t>Điều kiện đạt</t>
        </is>
      </c>
      <c r="E5" s="6" t="inlineStr">
        <is>
          <t>Nếu trượt thì</t>
        </is>
      </c>
    </row>
    <row r="6">
      <c r="A6" s="8" t="inlineStr">
        <is>
          <t>Họp khởi động nhóm</t>
        </is>
      </c>
      <c r="B6" s="9" t="n">
        <v>46292</v>
      </c>
      <c r="C6" s="10">
        <f>IF(B6&lt;TODAY(),"Đã qua",B6-TODAY())</f>
        <v/>
      </c>
      <c r="D6" s="8" t="inlineStr">
        <is>
          <t>Cả 3 đồng ý phân công, có giờ họp tuần</t>
        </is>
      </c>
      <c r="E6" s="8" t="inlineStr">
        <is>
          <t>Họp bù trong 2 ngày</t>
        </is>
      </c>
    </row>
    <row r="7">
      <c r="A7" s="8" t="inlineStr">
        <is>
          <t>Họp thầy: chốt mô hình + phạm vi</t>
        </is>
      </c>
      <c r="B7" s="9" t="n">
        <v>46296</v>
      </c>
      <c r="C7" s="10">
        <f>IF(B7&lt;TODAY(),"Đã qua",B7-TODAY())</f>
        <v/>
      </c>
      <c r="D7" s="8" t="inlineStr">
        <is>
          <t>Thầy trả lời 6 vấn đề mở (Q15–Q20)</t>
        </is>
      </c>
      <c r="E7" s="8" t="inlineStr">
        <is>
          <t>Gửi email hỏi các câu còn lại</t>
        </is>
      </c>
    </row>
    <row r="8">
      <c r="A8" s="8" t="inlineStr">
        <is>
          <t>Khoá đề cương</t>
        </is>
      </c>
      <c r="B8" s="9" t="n">
        <v>46298</v>
      </c>
      <c r="C8" s="10">
        <f>IF(B8&lt;TODAY(),"Đã qua",B8-TODAY())</f>
        <v/>
      </c>
      <c r="D8" s="8" t="inlineStr">
        <is>
          <t>README cập nhật theo quyết định của thầy</t>
        </is>
      </c>
      <c r="E8" s="8" t="inlineStr">
        <is>
          <t>—</t>
        </is>
      </c>
    </row>
    <row r="9">
      <c r="A9" s="8" t="inlineStr">
        <is>
          <t>CHỐT 1 — GO/NO-GO dữ liệu</t>
        </is>
      </c>
      <c r="B9" s="9" t="n">
        <v>46308</v>
      </c>
      <c r="C9" s="10">
        <f>IF(B9&lt;TODAY(),"Đã qua",B9-TODAY())</f>
        <v/>
      </c>
      <c r="D9" s="8" t="inlineStr">
        <is>
          <t>≥150 DN × ≥8 năm × có ngày công bố</t>
        </is>
      </c>
      <c r="E9" s="8" t="inlineStr">
        <is>
          <t>Bỏ Bảng 2, H3 thành mục hạn chế, báo thầy trong ngày</t>
        </is>
      </c>
    </row>
    <row r="10">
      <c r="A10" s="8" t="inlineStr">
        <is>
          <t>Xong hạ tầng đánh giá (P2)</t>
        </is>
      </c>
      <c r="B10" s="9" t="n">
        <v>46314</v>
      </c>
      <c r="C10" s="10">
        <f>IF(B10&lt;TODAY(),"Đã qua",B10-TODAY())</f>
        <v/>
      </c>
      <c r="D10" s="8" t="inlineStr">
        <is>
          <t>Baseline thủ công chạy hết pipeline</t>
        </is>
      </c>
      <c r="E10" s="8" t="inlineStr">
        <is>
          <t>—</t>
        </is>
      </c>
    </row>
    <row r="11">
      <c r="A11" s="8" t="inlineStr">
        <is>
          <t>CHỐT 2 — GO/NO-GO sinh công thức</t>
        </is>
      </c>
      <c r="B11" s="9" t="n">
        <v>46329</v>
      </c>
      <c r="C11" s="10">
        <f>IF(B11&lt;TODAY(),"Đã qua",B11-TODAY())</f>
        <v/>
      </c>
      <c r="D11" s="8" t="inlineStr">
        <is>
          <t>Tỷ lệ công thức hợp lệ ≥60%</t>
        </is>
      </c>
      <c r="E11" s="8" t="inlineStr">
        <is>
          <t>Few-shot + ràng buộc grammar, không đổi mô hình</t>
        </is>
      </c>
    </row>
    <row r="12">
      <c r="A12" s="8" t="inlineStr">
        <is>
          <t>Có Bảng 1 / 2 / 3</t>
        </is>
      </c>
      <c r="B12" s="9" t="n">
        <v>46342</v>
      </c>
      <c r="C12" s="10">
        <f>IF(B12&lt;TODAY(),"Đã qua",B12-TODAY())</f>
        <v/>
      </c>
      <c r="D12" s="8" t="inlineStr">
        <is>
          <t>3 bảng kết quả có số</t>
        </is>
      </c>
      <c r="E12" s="8" t="inlineStr">
        <is>
          <t>—</t>
        </is>
      </c>
    </row>
    <row r="13">
      <c r="A13" s="8" t="inlineStr">
        <is>
          <t>ĐÓNG BĂNG + nộp nháp GVHD</t>
        </is>
      </c>
      <c r="B13" s="9" t="n">
        <v>46356</v>
      </c>
      <c r="C13" s="10">
        <f>IF(B13&lt;TODAY(),"Đã qua",B13-TODAY())</f>
        <v/>
      </c>
      <c r="D13" s="8" t="inlineStr">
        <is>
          <t>Không chạy thí nghiệm mới</t>
        </is>
      </c>
      <c r="E13" s="8" t="inlineStr">
        <is>
          <t>Không có phương án — không được trượt</t>
        </is>
      </c>
    </row>
    <row r="14">
      <c r="A14" s="8" t="inlineStr">
        <is>
          <t>NỘP BÁO CÁO</t>
        </is>
      </c>
      <c r="B14" s="9" t="n">
        <v>46370</v>
      </c>
      <c r="C14" s="10">
        <f>IF(B14&lt;TODAY(),"Đã qua",B14-TODAY())</f>
        <v/>
      </c>
      <c r="D14" s="8" t="inlineStr">
        <is>
          <t>Bản in xong từ 13/12</t>
        </is>
      </c>
      <c r="E14" s="8" t="inlineStr">
        <is>
          <t>—</t>
        </is>
      </c>
    </row>
    <row r="16">
      <c r="A16" s="5" t="inlineStr">
        <is>
          <t>Việc theo người</t>
        </is>
      </c>
    </row>
    <row r="17" ht="30" customHeight="1">
      <c r="A17" s="6" t="inlineStr">
        <is>
          <t>Người</t>
        </is>
      </c>
      <c r="B17" s="6" t="inlineStr">
        <is>
          <t>Cần làm</t>
        </is>
      </c>
      <c r="C17" s="6" t="inlineStr">
        <is>
          <t>Đang làm</t>
        </is>
      </c>
      <c r="D17" s="6" t="inlineStr">
        <is>
          <t>Chờ duyệt</t>
        </is>
      </c>
      <c r="E17" s="6" t="inlineStr">
        <is>
          <t>Kẹt</t>
        </is>
      </c>
      <c r="F17" s="6" t="inlineStr">
        <is>
          <t>Xong</t>
        </is>
      </c>
      <c r="G17" s="6" t="inlineStr">
        <is>
          <t>Trễ</t>
        </is>
      </c>
      <c r="H17" s="6" t="inlineStr">
        <is>
          <t>Tổng</t>
        </is>
      </c>
    </row>
    <row r="18">
      <c r="A18" s="11" t="inlineStr">
        <is>
          <t>Quân</t>
        </is>
      </c>
      <c r="B18" s="12">
        <f>COUNTIFS('Việc'!$D$2:$D$100,$A18,'Việc'!$I$2:$I$100,"Cần làm")</f>
        <v/>
      </c>
      <c r="C18" s="12">
        <f>COUNTIFS('Việc'!$D$2:$D$100,$A18,'Việc'!$I$2:$I$100,"Đang làm")</f>
        <v/>
      </c>
      <c r="D18" s="12">
        <f>COUNTIFS('Việc'!$D$2:$D$100,$A18,'Việc'!$I$2:$I$100,"Chờ duyệt")</f>
        <v/>
      </c>
      <c r="E18" s="12">
        <f>COUNTIFS('Việc'!$D$2:$D$100,$A18,'Việc'!$I$2:$I$100,"Kẹt")</f>
        <v/>
      </c>
      <c r="F18" s="12">
        <f>COUNTIFS('Việc'!$D$2:$D$100,$A18,'Việc'!$I$2:$I$100,"Xong")</f>
        <v/>
      </c>
      <c r="G18" s="12">
        <f>COUNTIFS('Việc'!$D$2:$D$100,$A18,'Việc'!$J$2:$J$100,"TRỄ")</f>
        <v/>
      </c>
      <c r="H18" s="12">
        <f>SUM(B18:F18)</f>
        <v/>
      </c>
    </row>
    <row r="19">
      <c r="A19" s="11" t="inlineStr">
        <is>
          <t>Thắng</t>
        </is>
      </c>
      <c r="B19" s="12">
        <f>COUNTIFS('Việc'!$D$2:$D$100,$A19,'Việc'!$I$2:$I$100,"Cần làm")</f>
        <v/>
      </c>
      <c r="C19" s="12">
        <f>COUNTIFS('Việc'!$D$2:$D$100,$A19,'Việc'!$I$2:$I$100,"Đang làm")</f>
        <v/>
      </c>
      <c r="D19" s="12">
        <f>COUNTIFS('Việc'!$D$2:$D$100,$A19,'Việc'!$I$2:$I$100,"Chờ duyệt")</f>
        <v/>
      </c>
      <c r="E19" s="12">
        <f>COUNTIFS('Việc'!$D$2:$D$100,$A19,'Việc'!$I$2:$I$100,"Kẹt")</f>
        <v/>
      </c>
      <c r="F19" s="12">
        <f>COUNTIFS('Việc'!$D$2:$D$100,$A19,'Việc'!$I$2:$I$100,"Xong")</f>
        <v/>
      </c>
      <c r="G19" s="12">
        <f>COUNTIFS('Việc'!$D$2:$D$100,$A19,'Việc'!$J$2:$J$100,"TRỄ")</f>
        <v/>
      </c>
      <c r="H19" s="12">
        <f>SUM(B19:F19)</f>
        <v/>
      </c>
    </row>
    <row r="20">
      <c r="A20" s="11" t="inlineStr">
        <is>
          <t>Trung</t>
        </is>
      </c>
      <c r="B20" s="12">
        <f>COUNTIFS('Việc'!$D$2:$D$100,$A20,'Việc'!$I$2:$I$100,"Cần làm")</f>
        <v/>
      </c>
      <c r="C20" s="12">
        <f>COUNTIFS('Việc'!$D$2:$D$100,$A20,'Việc'!$I$2:$I$100,"Đang làm")</f>
        <v/>
      </c>
      <c r="D20" s="12">
        <f>COUNTIFS('Việc'!$D$2:$D$100,$A20,'Việc'!$I$2:$I$100,"Chờ duyệt")</f>
        <v/>
      </c>
      <c r="E20" s="12">
        <f>COUNTIFS('Việc'!$D$2:$D$100,$A20,'Việc'!$I$2:$I$100,"Kẹt")</f>
        <v/>
      </c>
      <c r="F20" s="12">
        <f>COUNTIFS('Việc'!$D$2:$D$100,$A20,'Việc'!$I$2:$I$100,"Xong")</f>
        <v/>
      </c>
      <c r="G20" s="12">
        <f>COUNTIFS('Việc'!$D$2:$D$100,$A20,'Việc'!$J$2:$J$100,"TRỄ")</f>
        <v/>
      </c>
      <c r="H20" s="12">
        <f>SUM(B20:F20)</f>
        <v/>
      </c>
    </row>
    <row r="21">
      <c r="A21" s="4" t="inlineStr">
        <is>
          <t>Việc giao cho "Cả nhóm" không có — mỗi việc đúng 1 người phụ trách (cột Phụ trách).</t>
        </is>
      </c>
    </row>
  </sheetData>
  <conditionalFormatting sqref="C6:C14">
    <cfRule type="expression" priority="1" dxfId="0">
      <formula>AND(ISNUMBER(C6),C6&lt;=7)</formula>
    </cfRule>
  </conditionalFormatting>
  <conditionalFormatting sqref="G18:G20">
    <cfRule type="expression" priority="2" dxfId="0">
      <formula>G18&gt;0</formula>
    </cfRule>
  </conditionalFormatting>
  <conditionalFormatting sqref="E18:E20">
    <cfRule type="expression" priority="3" dxfId="0">
      <formula>E18&gt;0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50" customWidth="1" min="3" max="3"/>
    <col width="10" customWidth="1" min="4" max="4"/>
    <col width="13" customWidth="1" min="5" max="5"/>
    <col width="11" customWidth="1" min="6" max="6"/>
    <col width="11" customWidth="1" min="7" max="7"/>
    <col width="11" customWidth="1" min="8" max="8"/>
    <col width="12" customWidth="1" min="9" max="9"/>
    <col width="9" customWidth="1" min="10" max="10"/>
    <col width="44" customWidth="1" min="11" max="11"/>
    <col width="13" customWidth="1" min="12" max="12"/>
    <col width="5" customWidth="1" min="13" max="13"/>
    <col width="44" customWidth="1" min="14" max="14"/>
  </cols>
  <sheetData>
    <row r="1" ht="30" customHeight="1">
      <c r="A1" s="6" t="inlineStr">
        <is>
          <t>ID</t>
        </is>
      </c>
      <c r="B1" s="6" t="inlineStr">
        <is>
          <t>Pha</t>
        </is>
      </c>
      <c r="C1" s="6" t="inlineStr">
        <is>
          <t>Việc</t>
        </is>
      </c>
      <c r="D1" s="6" t="inlineStr">
        <is>
          <t>Phụ trách</t>
        </is>
      </c>
      <c r="E1" s="6" t="inlineStr">
        <is>
          <t>Hỗ trợ</t>
        </is>
      </c>
      <c r="F1" s="6" t="inlineStr">
        <is>
          <t>Bắt đầu</t>
        </is>
      </c>
      <c r="G1" s="6" t="inlineStr">
        <is>
          <t>Hạn</t>
        </is>
      </c>
      <c r="H1" s="6" t="inlineStr">
        <is>
          <t>Hạn mới</t>
        </is>
      </c>
      <c r="I1" s="6" t="inlineStr">
        <is>
          <t>Trạng thái</t>
        </is>
      </c>
      <c r="J1" s="7" t="inlineStr">
        <is>
          <t>Trễ?</t>
        </is>
      </c>
      <c r="K1" s="6" t="inlineStr">
        <is>
          <t>Xong khi (đầu ra)</t>
        </is>
      </c>
      <c r="L1" s="6" t="inlineStr">
        <is>
          <t>Phụ thuộc</t>
        </is>
      </c>
      <c r="M1" s="6" t="inlineStr">
        <is>
          <t>TL#</t>
        </is>
      </c>
      <c r="N1" s="6" t="inlineStr">
        <is>
          <t>Ghi chú</t>
        </is>
      </c>
    </row>
    <row r="2">
      <c r="A2" s="13" t="inlineStr">
        <is>
          <t>V01</t>
        </is>
      </c>
      <c r="B2" s="13" t="inlineStr">
        <is>
          <t>PM</t>
        </is>
      </c>
      <c r="C2" s="8" t="inlineStr">
        <is>
          <t>Dựng bộ quản lý dự án (Google Sheet + docs/pm)</t>
        </is>
      </c>
      <c r="D2" s="13" t="inlineStr">
        <is>
          <t>Quân</t>
        </is>
      </c>
      <c r="E2" s="8" t="inlineStr"/>
      <c r="F2" s="9" t="n">
        <v>46291</v>
      </c>
      <c r="G2" s="9" t="n">
        <v>46291</v>
      </c>
      <c r="H2" s="9" t="n"/>
      <c r="I2" s="13" t="inlineStr">
        <is>
          <t>Xong</t>
        </is>
      </c>
      <c r="J2" s="14">
        <f>IF(OR(I2="Xong",I2="Huỷ",G2=""),"",IF(IF(H2="",G2,H2)&lt;TODAY(),"TRỄ",IF(IF(H2="",G2,H2)-TODAY()&lt;=2,"Sắp hạn","")))</f>
        <v/>
      </c>
      <c r="K2" s="8" t="inlineStr">
        <is>
          <t>Sheet + docs/pm/ có đủ phân công, việc, rủi ro, quyết định, họp</t>
        </is>
      </c>
      <c r="L2" s="8" t="inlineStr"/>
      <c r="M2" s="13" t="inlineStr"/>
      <c r="N2" s="8" t="inlineStr"/>
    </row>
    <row r="3">
      <c r="A3" s="13" t="inlineStr">
        <is>
          <t>V02</t>
        </is>
      </c>
      <c r="B3" s="13" t="inlineStr">
        <is>
          <t>PM</t>
        </is>
      </c>
      <c r="C3" s="8" t="inlineStr">
        <is>
          <t>Họp khởi động: trình bày phân công, xin ý kiến Thắng &amp; Trung, chốt giờ họp tuần cố định</t>
        </is>
      </c>
      <c r="D3" s="13" t="inlineStr">
        <is>
          <t>Quân</t>
        </is>
      </c>
      <c r="E3" s="8" t="inlineStr">
        <is>
          <t>Thắng, Trung</t>
        </is>
      </c>
      <c r="F3" s="9" t="n">
        <v>46292</v>
      </c>
      <c r="G3" s="9" t="n">
        <v>46292</v>
      </c>
      <c r="H3" s="9" t="n"/>
      <c r="I3" s="13" t="inlineStr">
        <is>
          <t>Cần làm</t>
        </is>
      </c>
      <c r="J3" s="14">
        <f>IF(OR(I3="Xong",I3="Huỷ",G3=""),"",IF(IF(H3="",G3,H3)&lt;TODAY(),"TRỄ",IF(IF(H3="",G3,H3)-TODAY()&lt;=2,"Sắp hạn","")))</f>
        <v/>
      </c>
      <c r="K3" s="8" t="inlineStr">
        <is>
          <t>Cả 3 đồng ý phân công (hoặc đã sửa), có giờ họp tuần, Sheet đã share cho 2 bạn</t>
        </is>
      </c>
      <c r="L3" s="8" t="inlineStr">
        <is>
          <t>V01</t>
        </is>
      </c>
      <c r="M3" s="13" t="inlineStr"/>
      <c r="N3" s="8" t="inlineStr">
        <is>
          <t>Phân công hiện là ĐỀ XUẤT, chốt ở buổi này</t>
        </is>
      </c>
    </row>
    <row r="4">
      <c r="A4" s="13" t="inlineStr">
        <is>
          <t>V03</t>
        </is>
      </c>
      <c r="B4" s="13" t="inlineStr">
        <is>
          <t>P0</t>
        </is>
      </c>
      <c r="C4" s="8" t="inlineStr">
        <is>
          <t>Bộ thử 76 prompt, 4 họ F1–F4</t>
        </is>
      </c>
      <c r="D4" s="13" t="inlineStr">
        <is>
          <t>Quân</t>
        </is>
      </c>
      <c r="E4" s="8" t="inlineStr"/>
      <c r="F4" s="9" t="n">
        <v>46284</v>
      </c>
      <c r="G4" s="9" t="n">
        <v>46289</v>
      </c>
      <c r="H4" s="9" t="n"/>
      <c r="I4" s="13" t="inlineStr">
        <is>
          <t>Xong</t>
        </is>
      </c>
      <c r="J4" s="14">
        <f>IF(OR(I4="Xong",I4="Huỷ",G4=""),"",IF(IF(H4="",G4,H4)&lt;TODAY(),"TRỄ",IF(IF(H4="",G4,H4)-TODAY()&lt;=2,"Sắp hạn","")))</f>
        <v/>
      </c>
      <c r="K4" s="8" t="inlineStr">
        <is>
          <t>eval/prompts.jsonl đủ 76 dòng</t>
        </is>
      </c>
      <c r="L4" s="8" t="inlineStr"/>
      <c r="M4" s="13" t="inlineStr">
        <is>
          <t>1</t>
        </is>
      </c>
      <c r="N4" s="8" t="inlineStr"/>
    </row>
    <row r="5">
      <c r="A5" s="13" t="inlineStr">
        <is>
          <t>V04</t>
        </is>
      </c>
      <c r="B5" s="13" t="inlineStr">
        <is>
          <t>P0</t>
        </is>
      </c>
      <c r="C5" s="8" t="inlineStr">
        <is>
          <t>Benchmark 4 mô hình × 76 prompt × 3 seed</t>
        </is>
      </c>
      <c r="D5" s="13" t="inlineStr">
        <is>
          <t>Quân</t>
        </is>
      </c>
      <c r="E5" s="8" t="inlineStr"/>
      <c r="F5" s="9" t="n">
        <v>46284</v>
      </c>
      <c r="G5" s="9" t="n">
        <v>46289</v>
      </c>
      <c r="H5" s="9" t="n"/>
      <c r="I5" s="13" t="inlineStr">
        <is>
          <t>Xong</t>
        </is>
      </c>
      <c r="J5" s="14">
        <f>IF(OR(I5="Xong",I5="Huỷ",G5=""),"",IF(IF(H5="",G5,H5)&lt;TODAY(),"TRỄ",IF(IF(H5="",G5,H5)-TODAY()&lt;=2,"Sắp hạn","")))</f>
        <v/>
      </c>
      <c r="K5" s="8" t="inlineStr">
        <is>
          <t>bench/results/table.md</t>
        </is>
      </c>
      <c r="L5" s="8" t="inlineStr">
        <is>
          <t>V03</t>
        </is>
      </c>
      <c r="M5" s="13" t="inlineStr">
        <is>
          <t>2</t>
        </is>
      </c>
      <c r="N5" s="8" t="inlineStr">
        <is>
          <t>Kaggle T4, NF4 4-bit</t>
        </is>
      </c>
    </row>
    <row r="6">
      <c r="A6" s="13" t="inlineStr">
        <is>
          <t>V05</t>
        </is>
      </c>
      <c r="B6" s="13" t="inlineStr">
        <is>
          <t>P0</t>
        </is>
      </c>
      <c r="C6" s="8" t="inlineStr">
        <is>
          <t>Viết thang chấm eval/rubric.md cho tiêu chí C4 (ý nghĩa kinh tế, 1–5)</t>
        </is>
      </c>
      <c r="D6" s="13" t="inlineStr">
        <is>
          <t>Quân</t>
        </is>
      </c>
      <c r="E6" s="8" t="inlineStr">
        <is>
          <t>Thắng, Trung</t>
        </is>
      </c>
      <c r="F6" s="9" t="n">
        <v>46287</v>
      </c>
      <c r="G6" s="9" t="n">
        <v>46289</v>
      </c>
      <c r="H6" s="9" t="n">
        <v>46292</v>
      </c>
      <c r="I6" s="13" t="inlineStr">
        <is>
          <t>Chờ duyệt</t>
        </is>
      </c>
      <c r="J6" s="14">
        <f>IF(OR(I6="Xong",I6="Huỷ",G6=""),"",IF(IF(H6="",G6,H6)&lt;TODAY(),"TRỄ",IF(IF(H6="",G6,H6)-TODAY()&lt;=2,"Sắp hạn","")))</f>
        <v/>
      </c>
      <c r="K6" s="8" t="inlineStr">
        <is>
          <t>Mỗi mức 1–5 có mô tả + ví dụ; Thắng, Trung đọc và hỏi hết chỗ chưa rõ</t>
        </is>
      </c>
      <c r="L6" s="8" t="inlineStr"/>
      <c r="M6" s="13" t="inlineStr"/>
      <c r="N6" s="8" t="inlineStr">
        <is>
          <t>Bản nháp đã có 26/09. Việc con 1.5 của P0, trễ từ 24/09</t>
        </is>
      </c>
    </row>
    <row r="7">
      <c r="A7" s="13" t="inlineStr">
        <is>
          <t>V06</t>
        </is>
      </c>
      <c r="B7" s="13" t="inlineStr">
        <is>
          <t>P0</t>
        </is>
      </c>
      <c r="C7" s="8" t="inlineStr">
        <is>
          <t>Hiệu chỉnh C4: Thắng, Trung chấm độc lập C001–C010, chạy c4_merge.py --only C001-C010</t>
        </is>
      </c>
      <c r="D7" s="13" t="inlineStr">
        <is>
          <t>Trung</t>
        </is>
      </c>
      <c r="E7" s="8" t="inlineStr">
        <is>
          <t>Thắng</t>
        </is>
      </c>
      <c r="F7" s="9" t="n">
        <v>46293</v>
      </c>
      <c r="G7" s="9" t="n">
        <v>46293</v>
      </c>
      <c r="H7" s="9" t="n"/>
      <c r="I7" s="13" t="inlineStr">
        <is>
          <t>Cần làm</t>
        </is>
      </c>
      <c r="J7" s="14">
        <f>IF(OR(I7="Xong",I7="Huỷ",G7=""),"",IF(IF(H7="",G7,H7)&lt;TODAY(),"TRỄ",IF(IF(H7="",G7,H7)-TODAY()&lt;=2,"Sắp hạn","")))</f>
        <v/>
      </c>
      <c r="K7" s="8" t="inlineStr">
        <is>
          <t>Không quá 3/10 công thức lệch ≥2 điểm; quá thì sửa rubric rồi chấm lại</t>
        </is>
      </c>
      <c r="L7" s="8" t="inlineStr">
        <is>
          <t>V05</t>
        </is>
      </c>
      <c r="M7" s="13" t="inlineStr"/>
      <c r="N7" s="8" t="inlineStr">
        <is>
          <t>Quy trình: eval/rubric.md mục 7</t>
        </is>
      </c>
    </row>
    <row r="8">
      <c r="A8" s="13" t="inlineStr">
        <is>
          <t>V07</t>
        </is>
      </c>
      <c r="B8" s="13" t="inlineStr">
        <is>
          <t>P0</t>
        </is>
      </c>
      <c r="C8" s="8" t="inlineStr">
        <is>
          <t>Chấm C4 C011–C080 (2 người độc lập, mù tên mô hình) + trọng tài công thức lệch ≥2</t>
        </is>
      </c>
      <c r="D8" s="13" t="inlineStr">
        <is>
          <t>Trung</t>
        </is>
      </c>
      <c r="E8" s="8" t="inlineStr">
        <is>
          <t>Thắng, Quân</t>
        </is>
      </c>
      <c r="F8" s="9" t="n">
        <v>46293</v>
      </c>
      <c r="G8" s="9" t="n">
        <v>46289</v>
      </c>
      <c r="H8" s="9" t="n">
        <v>46294</v>
      </c>
      <c r="I8" s="13" t="inlineStr">
        <is>
          <t>Cần làm</t>
        </is>
      </c>
      <c r="J8" s="14">
        <f>IF(OR(I8="Xong",I8="Huỷ",G8=""),"",IF(IF(H8="",G8,H8)&lt;TODAY(),"TRỄ",IF(IF(H8="",G8,H8)-TODAY()&lt;=2,"Sắp hạn","")))</f>
        <v/>
      </c>
      <c r="K8" s="8" t="inlineStr">
        <is>
          <t>c4_scores_thang.csv + c4_scores_trung.csv đủ 80; c4_merge.py ra bench/results/c4.md</t>
        </is>
      </c>
      <c r="L8" s="8" t="inlineStr">
        <is>
          <t>V06</t>
        </is>
      </c>
      <c r="M8" s="13" t="inlineStr">
        <is>
          <t>2</t>
        </is>
      </c>
      <c r="N8" s="8" t="inlineStr">
        <is>
          <t>Quân làm trọng tài, không chấm (đã xem output nhiều, dễ đoán ra mô hình). Việc con 2.6, trễ từ 24/09</t>
        </is>
      </c>
    </row>
    <row r="9">
      <c r="A9" s="13" t="inlineStr">
        <is>
          <t>V08</t>
        </is>
      </c>
      <c r="B9" s="13" t="inlineStr">
        <is>
          <t>P0</t>
        </is>
      </c>
      <c r="C9" s="8" t="inlineStr">
        <is>
          <t>Tờ trình 1 trang chốt mô hình</t>
        </is>
      </c>
      <c r="D9" s="13" t="inlineStr">
        <is>
          <t>Quân</t>
        </is>
      </c>
      <c r="E9" s="8" t="inlineStr"/>
      <c r="F9" s="9" t="n">
        <v>46287</v>
      </c>
      <c r="G9" s="9" t="n">
        <v>46289</v>
      </c>
      <c r="H9" s="9" t="n">
        <v>46294</v>
      </c>
      <c r="I9" s="13" t="inlineStr">
        <is>
          <t>Cần làm</t>
        </is>
      </c>
      <c r="J9" s="14">
        <f>IF(OR(I9="Xong",I9="Huỷ",G9=""),"",IF(IF(H9="",G9,H9)&lt;TODAY(),"TRỄ",IF(IF(H9="",G9,H9)-TODAY()&lt;=2,"Sắp hạn","")))</f>
        <v/>
      </c>
      <c r="K9" s="8" t="inlineStr">
        <is>
          <t>docs/to_trinh_chot_mo_hinh.docx đúng 5 khối, có bảng benchmark + điểm C4</t>
        </is>
      </c>
      <c r="L9" s="8" t="inlineStr">
        <is>
          <t>V07</t>
        </is>
      </c>
      <c r="M9" s="13" t="inlineStr">
        <is>
          <t>3</t>
        </is>
      </c>
      <c r="N9" s="8" t="inlineStr">
        <is>
          <t>Trễ từ 24/09</t>
        </is>
      </c>
    </row>
    <row r="10">
      <c r="A10" s="13" t="inlineStr">
        <is>
          <t>V09</t>
        </is>
      </c>
      <c r="B10" s="13" t="inlineStr">
        <is>
          <t>P0</t>
        </is>
      </c>
      <c r="C10" s="8" t="inlineStr">
        <is>
          <t>Duyệt tờ trình (đọc như thầy đọc)</t>
        </is>
      </c>
      <c r="D10" s="13" t="inlineStr">
        <is>
          <t>Thắng</t>
        </is>
      </c>
      <c r="E10" s="8" t="inlineStr"/>
      <c r="F10" s="9" t="n">
        <v>46295</v>
      </c>
      <c r="G10" s="9" t="n">
        <v>46295</v>
      </c>
      <c r="H10" s="9" t="n"/>
      <c r="I10" s="13" t="inlineStr">
        <is>
          <t>Cần làm</t>
        </is>
      </c>
      <c r="J10" s="14">
        <f>IF(OR(I10="Xong",I10="Huỷ",G10=""),"",IF(IF(H10="",G10,H10)&lt;TODAY(),"TRỄ",IF(IF(H10="",G10,H10)-TODAY()&lt;=2,"Sắp hạn","")))</f>
        <v/>
      </c>
      <c r="K10" s="8" t="inlineStr">
        <is>
          <t>Góp ý gửi Quân, Quân sửa xong trong ngày</t>
        </is>
      </c>
      <c r="L10" s="8" t="inlineStr">
        <is>
          <t>V08</t>
        </is>
      </c>
      <c r="M10" s="13" t="inlineStr">
        <is>
          <t>3</t>
        </is>
      </c>
      <c r="N10" s="8" t="inlineStr"/>
    </row>
    <row r="11">
      <c r="A11" s="13" t="inlineStr">
        <is>
          <t>V10</t>
        </is>
      </c>
      <c r="B11" s="13" t="inlineStr">
        <is>
          <t>P0</t>
        </is>
      </c>
      <c r="C11" s="8" t="inlineStr">
        <is>
          <t>Gửi thầy tờ trình + 6 câu hỏi cần quyết (README mục 10)</t>
        </is>
      </c>
      <c r="D11" s="13" t="inlineStr">
        <is>
          <t>Quân</t>
        </is>
      </c>
      <c r="E11" s="8" t="inlineStr"/>
      <c r="F11" s="9" t="n">
        <v>46295</v>
      </c>
      <c r="G11" s="9" t="n">
        <v>46295</v>
      </c>
      <c r="H11" s="9" t="n"/>
      <c r="I11" s="13" t="inlineStr">
        <is>
          <t>Cần làm</t>
        </is>
      </c>
      <c r="J11" s="14">
        <f>IF(OR(I11="Xong",I11="Huỷ",G11=""),"",IF(IF(H11="",G11,H11)&lt;TODAY(),"TRỄ",IF(IF(H11="",G11,H11)-TODAY()&lt;=2,"Sắp hạn","")))</f>
        <v/>
      </c>
      <c r="K11" s="8" t="inlineStr">
        <is>
          <t>Email đã gửi, thầy có ≥1 ngày để đọc trước buổi họp</t>
        </is>
      </c>
      <c r="L11" s="8" t="inlineStr">
        <is>
          <t>V09</t>
        </is>
      </c>
      <c r="M11" s="13" t="inlineStr"/>
      <c r="N11" s="8" t="inlineStr"/>
    </row>
    <row r="12">
      <c r="A12" s="13" t="inlineStr">
        <is>
          <t>V11</t>
        </is>
      </c>
      <c r="B12" s="13" t="inlineStr">
        <is>
          <t>P0</t>
        </is>
      </c>
      <c r="C12" s="8" t="inlineStr">
        <is>
          <t>Họp thầy: chốt mô hình + phạm vi</t>
        </is>
      </c>
      <c r="D12" s="13" t="inlineStr">
        <is>
          <t>Quân</t>
        </is>
      </c>
      <c r="E12" s="8" t="inlineStr">
        <is>
          <t>Thắng, Trung</t>
        </is>
      </c>
      <c r="F12" s="9" t="n">
        <v>46296</v>
      </c>
      <c r="G12" s="9" t="n">
        <v>46296</v>
      </c>
      <c r="H12" s="9" t="n"/>
      <c r="I12" s="13" t="inlineStr">
        <is>
          <t>Cần làm</t>
        </is>
      </c>
      <c r="J12" s="14">
        <f>IF(OR(I12="Xong",I12="Huỷ",G12=""),"",IF(IF(H12="",G12,H12)&lt;TODAY(),"TRỄ",IF(IF(H12="",G12,H12)-TODAY()&lt;=2,"Sắp hạn","")))</f>
        <v/>
      </c>
      <c r="K12" s="8" t="inlineStr">
        <is>
          <t>Có câu trả lời cho 6 vấn đề mở</t>
        </is>
      </c>
      <c r="L12" s="8" t="inlineStr">
        <is>
          <t>V10</t>
        </is>
      </c>
      <c r="M12" s="13" t="inlineStr">
        <is>
          <t>4</t>
        </is>
      </c>
      <c r="N12" s="8" t="inlineStr">
        <is>
          <t>Chương trình họp: docs/pm/bien_ban/2026-10-01_hop_thay.md</t>
        </is>
      </c>
    </row>
    <row r="13">
      <c r="A13" s="13" t="inlineStr">
        <is>
          <t>V12</t>
        </is>
      </c>
      <c r="B13" s="13" t="inlineStr">
        <is>
          <t>P0</t>
        </is>
      </c>
      <c r="C13" s="8" t="inlineStr">
        <is>
          <t>Gửi biên bản họp thầy + cập nhật tab Quyết định</t>
        </is>
      </c>
      <c r="D13" s="13" t="inlineStr">
        <is>
          <t>Trung</t>
        </is>
      </c>
      <c r="E13" s="8" t="inlineStr">
        <is>
          <t>Quân</t>
        </is>
      </c>
      <c r="F13" s="9" t="n">
        <v>46296</v>
      </c>
      <c r="G13" s="9" t="n">
        <v>46297</v>
      </c>
      <c r="H13" s="9" t="n"/>
      <c r="I13" s="13" t="inlineStr">
        <is>
          <t>Cần làm</t>
        </is>
      </c>
      <c r="J13" s="14">
        <f>IF(OR(I13="Xong",I13="Huỷ",G13=""),"",IF(IF(H13="",G13,H13)&lt;TODAY(),"TRỄ",IF(IF(H13="",G13,H13)-TODAY()&lt;=2,"Sắp hạn","")))</f>
        <v/>
      </c>
      <c r="K13" s="8" t="inlineStr">
        <is>
          <t>Biên bản trong docs/pm/bien_ban/, các Q15–Q20 chuyển sang Đã chốt</t>
        </is>
      </c>
      <c r="L13" s="8" t="inlineStr">
        <is>
          <t>V11</t>
        </is>
      </c>
      <c r="M13" s="13" t="inlineStr"/>
      <c r="N13" s="8" t="inlineStr">
        <is>
          <t>Người ghi biên bản luân phiên, lần này Trung</t>
        </is>
      </c>
    </row>
    <row r="14">
      <c r="A14" s="13" t="inlineStr">
        <is>
          <t>V13</t>
        </is>
      </c>
      <c r="B14" s="13" t="inlineStr">
        <is>
          <t>P0</t>
        </is>
      </c>
      <c r="C14" s="8" t="inlineStr">
        <is>
          <t>Khoá đề cương</t>
        </is>
      </c>
      <c r="D14" s="13" t="inlineStr">
        <is>
          <t>Quân</t>
        </is>
      </c>
      <c r="E14" s="8" t="inlineStr">
        <is>
          <t>Thắng, Trung</t>
        </is>
      </c>
      <c r="F14" s="9" t="n">
        <v>46297</v>
      </c>
      <c r="G14" s="9" t="n">
        <v>46298</v>
      </c>
      <c r="H14" s="9" t="n"/>
      <c r="I14" s="13" t="inlineStr">
        <is>
          <t>Cần làm</t>
        </is>
      </c>
      <c r="J14" s="14">
        <f>IF(OR(I14="Xong",I14="Huỷ",G14=""),"",IF(IF(H14="",G14,H14)&lt;TODAY(),"TRỄ",IF(IF(H14="",G14,H14)-TODAY()&lt;=2,"Sắp hạn","")))</f>
        <v/>
      </c>
      <c r="K14" s="8" t="inlineStr">
        <is>
          <t>README cập nhật theo quyết định của thầy; từ đây không đổi phạm vi</t>
        </is>
      </c>
      <c r="L14" s="8" t="inlineStr">
        <is>
          <t>V12</t>
        </is>
      </c>
      <c r="M14" s="13" t="inlineStr">
        <is>
          <t>5</t>
        </is>
      </c>
      <c r="N14" s="8" t="inlineStr"/>
    </row>
    <row r="15">
      <c r="A15" s="13" t="inlineStr">
        <is>
          <t>V14</t>
        </is>
      </c>
      <c r="B15" s="13" t="inlineStr">
        <is>
          <t>P1</t>
        </is>
      </c>
      <c r="C15" s="8" t="inlineStr">
        <is>
          <t>Dò nguồn ngày công bố BCTC thực tế (HOSE/HNX, vnstock, CafeF…), thử trên 20 mã mẫu</t>
        </is>
      </c>
      <c r="D15" s="13" t="inlineStr">
        <is>
          <t>Thắng</t>
        </is>
      </c>
      <c r="E15" s="8" t="inlineStr"/>
      <c r="F15" s="9" t="n">
        <v>46292</v>
      </c>
      <c r="G15" s="9" t="n">
        <v>46295</v>
      </c>
      <c r="H15" s="9" t="n"/>
      <c r="I15" s="13" t="inlineStr">
        <is>
          <t>Cần làm</t>
        </is>
      </c>
      <c r="J15" s="14">
        <f>IF(OR(I15="Xong",I15="Huỷ",G15=""),"",IF(IF(H15="",G15,H15)&lt;TODAY(),"TRỄ",IF(IF(H15="",G15,H15)-TODAY()&lt;=2,"Sắp hạn","")))</f>
        <v/>
      </c>
      <c r="K15" s="8" t="inlineStr">
        <is>
          <t>Ghi chú 1 trang: nguồn nào, phủ bao nhiêu mã × năm, cách lấy, độ tin cậy</t>
        </is>
      </c>
      <c r="L15" s="8" t="inlineStr"/>
      <c r="M15" s="13" t="inlineStr">
        <is>
          <t>7</t>
        </is>
      </c>
      <c r="N15" s="8" t="inlineStr">
        <is>
          <t>Mang kết quả đi họp 01/10. Xem rủi ro R01</t>
        </is>
      </c>
    </row>
    <row r="16">
      <c r="A16" s="13" t="inlineStr">
        <is>
          <t>V15</t>
        </is>
      </c>
      <c r="B16" s="13" t="inlineStr">
        <is>
          <t>P1</t>
        </is>
      </c>
      <c r="C16" s="8" t="inlineStr">
        <is>
          <t>Thu thập ngày công bố thực tế ~200 DN × 10 năm, đối chiếu chéo vnstock</t>
        </is>
      </c>
      <c r="D16" s="13" t="inlineStr">
        <is>
          <t>Thắng</t>
        </is>
      </c>
      <c r="E16" s="8" t="inlineStr"/>
      <c r="F16" s="9" t="n">
        <v>46289</v>
      </c>
      <c r="G16" s="9" t="n">
        <v>46304</v>
      </c>
      <c r="H16" s="9" t="n"/>
      <c r="I16" s="13" t="inlineStr">
        <is>
          <t>Cần làm</t>
        </is>
      </c>
      <c r="J16" s="14">
        <f>IF(OR(I16="Xong",I16="Huỷ",G16=""),"",IF(IF(H16="",G16,H16)&lt;TODAY(),"TRỄ",IF(IF(H16="",G16,H16)-TODAY()&lt;=2,"Sắp hạn","")))</f>
        <v/>
      </c>
      <c r="K16" s="8" t="inlineStr">
        <is>
          <t>File ngày công bố cho ≥150 DN × ≥8 năm</t>
        </is>
      </c>
      <c r="L16" s="8" t="inlineStr">
        <is>
          <t>V14</t>
        </is>
      </c>
      <c r="M16" s="13" t="inlineStr">
        <is>
          <t>7</t>
        </is>
      </c>
      <c r="N16" s="8" t="inlineStr">
        <is>
          <t>Kế hoạch gốc bắt đầu 24/09 nhưng chưa giao → đang trễ bắt đầu</t>
        </is>
      </c>
    </row>
    <row r="17">
      <c r="A17" s="13" t="inlineStr">
        <is>
          <t>V16</t>
        </is>
      </c>
      <c r="B17" s="13" t="inlineStr">
        <is>
          <t>P1</t>
        </is>
      </c>
      <c r="C17" s="8" t="inlineStr">
        <is>
          <t>Crawl BCTC quý ~200 DN × 10 năm (bảng số), map về config/variables.yaml</t>
        </is>
      </c>
      <c r="D17" s="13" t="inlineStr">
        <is>
          <t>Thắng</t>
        </is>
      </c>
      <c r="E17" s="8" t="inlineStr">
        <is>
          <t>Quân</t>
        </is>
      </c>
      <c r="F17" s="9" t="n">
        <v>46289</v>
      </c>
      <c r="G17" s="9" t="n">
        <v>46307</v>
      </c>
      <c r="H17" s="9" t="n"/>
      <c r="I17" s="13" t="inlineStr">
        <is>
          <t>Cần làm</t>
        </is>
      </c>
      <c r="J17" s="14">
        <f>IF(OR(I17="Xong",I17="Huỷ",G17=""),"",IF(IF(H17="",G17,H17)&lt;TODAY(),"TRỄ",IF(IF(H17="",G17,H17)-TODAY()&lt;=2,"Sắp hạn","")))</f>
        <v/>
      </c>
      <c r="K17" s="8" t="inlineStr">
        <is>
          <t>Bảng số quý ≥150 DN × ≥8 năm, map đủ biến trong variables.yaml</t>
        </is>
      </c>
      <c r="L17" s="8" t="inlineStr">
        <is>
          <t>V11</t>
        </is>
      </c>
      <c r="M17" s="13" t="inlineStr">
        <is>
          <t>6</t>
        </is>
      </c>
      <c r="N17" s="8" t="inlineStr">
        <is>
          <t>Phần bảng số qua vnstock làm ngay, không chờ họp. Nguồn thuyết minh chờ thầy chốt (Q15)</t>
        </is>
      </c>
    </row>
    <row r="18">
      <c r="A18" s="13" t="inlineStr">
        <is>
          <t>V17</t>
        </is>
      </c>
      <c r="B18" s="13" t="inlineStr">
        <is>
          <t>P1</t>
        </is>
      </c>
      <c r="C18" s="8" t="inlineStr">
        <is>
          <t>Giá OHLCV theo ngày + mã ngành, gồm cả mã đã huỷ niêm yết</t>
        </is>
      </c>
      <c r="D18" s="13" t="inlineStr">
        <is>
          <t>Thắng</t>
        </is>
      </c>
      <c r="E18" s="8" t="inlineStr">
        <is>
          <t>Trung</t>
        </is>
      </c>
      <c r="F18" s="9" t="n">
        <v>46294</v>
      </c>
      <c r="G18" s="9" t="n">
        <v>46307</v>
      </c>
      <c r="H18" s="9" t="n"/>
      <c r="I18" s="13" t="inlineStr">
        <is>
          <t>Cần làm</t>
        </is>
      </c>
      <c r="J18" s="14">
        <f>IF(OR(I18="Xong",I18="Huỷ",G18=""),"",IF(IF(H18="",G18,H18)&lt;TODAY(),"TRỄ",IF(IF(H18="",G18,H18)-TODAY()&lt;=2,"Sắp hạn","")))</f>
        <v/>
      </c>
      <c r="K18" s="8" t="inlineStr">
        <is>
          <t>Giá ngày đủ 10 năm, có mã huỷ niêm yết, căn đúng lịch giao dịch</t>
        </is>
      </c>
      <c r="L18" s="8" t="inlineStr"/>
      <c r="M18" s="13" t="inlineStr">
        <is>
          <t>8</t>
        </is>
      </c>
      <c r="N18" s="8" t="inlineStr">
        <is>
          <t>Trung quy định định dạng cần cho backtest</t>
        </is>
      </c>
    </row>
    <row r="19">
      <c r="A19" s="13" t="inlineStr">
        <is>
          <t>V18</t>
        </is>
      </c>
      <c r="B19" s="13" t="inlineStr">
        <is>
          <t>P1</t>
        </is>
      </c>
      <c r="C19" s="8" t="inlineStr">
        <is>
          <t>CHỐT 1 — GO/NO-GO: ≥150 DN × ≥8 năm × có ngày công bố?</t>
        </is>
      </c>
      <c r="D19" s="13" t="inlineStr">
        <is>
          <t>Quân</t>
        </is>
      </c>
      <c r="E19" s="8" t="inlineStr">
        <is>
          <t>Thắng, Trung</t>
        </is>
      </c>
      <c r="F19" s="9" t="n">
        <v>46308</v>
      </c>
      <c r="G19" s="9" t="n">
        <v>46308</v>
      </c>
      <c r="H19" s="9" t="n"/>
      <c r="I19" s="13" t="inlineStr">
        <is>
          <t>Cần làm</t>
        </is>
      </c>
      <c r="J19" s="14">
        <f>IF(OR(I19="Xong",I19="Huỷ",G19=""),"",IF(IF(H19="",G19,H19)&lt;TODAY(),"TRỄ",IF(IF(H19="",G19,H19)-TODAY()&lt;=2,"Sắp hạn","")))</f>
        <v/>
      </c>
      <c r="K19" s="8" t="inlineStr">
        <is>
          <t>Quyết định GO/NO-GO ghi vào tab Quyết định, báo thầy trong ngày</t>
        </is>
      </c>
      <c r="L19" s="8" t="inlineStr">
        <is>
          <t>V15, V16, V17</t>
        </is>
      </c>
      <c r="M19" s="13" t="inlineStr">
        <is>
          <t>9</t>
        </is>
      </c>
      <c r="N19" s="8" t="inlineStr">
        <is>
          <t>NO-GO → bỏ Bảng 2, H3 thành mục hạn chế</t>
        </is>
      </c>
    </row>
    <row r="20">
      <c r="A20" s="13" t="inlineStr">
        <is>
          <t>V19</t>
        </is>
      </c>
      <c r="B20" s="13" t="inlineStr">
        <is>
          <t>P2</t>
        </is>
      </c>
      <c r="C20" s="8" t="inlineStr">
        <is>
          <t>Pipeline backtest: xếp hạng lát cắt ngang, long-short, IC, Sharpe, turnover</t>
        </is>
      </c>
      <c r="D20" s="13" t="inlineStr">
        <is>
          <t>Trung</t>
        </is>
      </c>
      <c r="E20" s="8" t="inlineStr"/>
      <c r="F20" s="9" t="n">
        <v>46294</v>
      </c>
      <c r="G20" s="9" t="n">
        <v>46312</v>
      </c>
      <c r="H20" s="9" t="n"/>
      <c r="I20" s="13" t="inlineStr">
        <is>
          <t>Cần làm</t>
        </is>
      </c>
      <c r="J20" s="14">
        <f>IF(OR(I20="Xong",I20="Huỷ",G20=""),"",IF(IF(H20="",G20,H20)&lt;TODAY(),"TRỄ",IF(IF(H20="",G20,H20)-TODAY()&lt;=2,"Sắp hạn","")))</f>
        <v/>
      </c>
      <c r="K20" s="8" t="inlineStr">
        <is>
          <t>Chạy được trên dữ liệu mẫu/giả, ra IC + Sharpe + turnover</t>
        </is>
      </c>
      <c r="L20" s="8" t="inlineStr"/>
      <c r="M20" s="13" t="inlineStr">
        <is>
          <t>10</t>
        </is>
      </c>
      <c r="N20" s="8" t="inlineStr">
        <is>
          <t>Kế hoạch gốc bắt đầu 06/10; kéo sớm vì Trung đang ít việc P0</t>
        </is>
      </c>
    </row>
    <row r="21">
      <c r="A21" s="13" t="inlineStr">
        <is>
          <t>V20</t>
        </is>
      </c>
      <c r="B21" s="13" t="inlineStr">
        <is>
          <t>P2</t>
        </is>
      </c>
      <c r="C21" s="8" t="inlineStr">
        <is>
          <t>Mô hình chi phí VN: phí môi giới 2 chiều, thuế bán 0,1%, spread theo thanh khoản, market impact</t>
        </is>
      </c>
      <c r="D21" s="13" t="inlineStr">
        <is>
          <t>Trung</t>
        </is>
      </c>
      <c r="E21" s="8" t="inlineStr"/>
      <c r="F21" s="9" t="n">
        <v>46308</v>
      </c>
      <c r="G21" s="9" t="n">
        <v>46314</v>
      </c>
      <c r="H21" s="9" t="n"/>
      <c r="I21" s="13" t="inlineStr">
        <is>
          <t>Cần làm</t>
        </is>
      </c>
      <c r="J21" s="14">
        <f>IF(OR(I21="Xong",I21="Huỷ",G21=""),"",IF(IF(H21="",G21,H21)&lt;TODAY(),"TRỄ",IF(IF(H21="",G21,H21)-TODAY()&lt;=2,"Sắp hạn","")))</f>
        <v/>
      </c>
      <c r="K21" s="8" t="inlineStr">
        <is>
          <t>Hàm chi phí gắn vào backtest, có bảng tham số và nguồn trích dẫn</t>
        </is>
      </c>
      <c r="L21" s="8" t="inlineStr">
        <is>
          <t>V19</t>
        </is>
      </c>
      <c r="M21" s="13" t="inlineStr">
        <is>
          <t>11</t>
        </is>
      </c>
      <c r="N21" s="8" t="inlineStr">
        <is>
          <t>KHÔNG CẮT</t>
        </is>
      </c>
    </row>
    <row r="22">
      <c r="A22" s="13" t="inlineStr">
        <is>
          <t>V21</t>
        </is>
      </c>
      <c r="B22" s="13" t="inlineStr">
        <is>
          <t>P2</t>
        </is>
      </c>
      <c r="C22" s="8" t="inlineStr">
        <is>
          <t>Baseline nhân tố thủ công (P/E, P/B, ROE, momentum, accruals) chạy hết pipeline</t>
        </is>
      </c>
      <c r="D22" s="13" t="inlineStr">
        <is>
          <t>Trung</t>
        </is>
      </c>
      <c r="E22" s="8" t="inlineStr"/>
      <c r="F22" s="9" t="n">
        <v>46308</v>
      </c>
      <c r="G22" s="9" t="n">
        <v>46314</v>
      </c>
      <c r="H22" s="9" t="n"/>
      <c r="I22" s="13" t="inlineStr">
        <is>
          <t>Cần làm</t>
        </is>
      </c>
      <c r="J22" s="14">
        <f>IF(OR(I22="Xong",I22="Huỷ",G22=""),"",IF(IF(H22="",G22,H22)&lt;TODAY(),"TRỄ",IF(IF(H22="",G22,H22)-TODAY()&lt;=2,"Sắp hạn","")))</f>
        <v/>
      </c>
      <c r="K22" s="8" t="inlineStr">
        <is>
          <t>Dòng đầu Bảng 1 có số</t>
        </is>
      </c>
      <c r="L22" s="8" t="inlineStr">
        <is>
          <t>V16, V17, V19</t>
        </is>
      </c>
      <c r="M22" s="13" t="inlineStr">
        <is>
          <t>12</t>
        </is>
      </c>
      <c r="N22" s="8" t="inlineStr"/>
    </row>
    <row r="23">
      <c r="A23" s="13" t="inlineStr">
        <is>
          <t>V22</t>
        </is>
      </c>
      <c r="B23" s="13" t="inlineStr">
        <is>
          <t>P2</t>
        </is>
      </c>
      <c r="C23" s="8" t="inlineStr">
        <is>
          <t>Bộ tính công thức DSL → số (dùng chung parser với validator)</t>
        </is>
      </c>
      <c r="D23" s="13" t="inlineStr">
        <is>
          <t>Trung</t>
        </is>
      </c>
      <c r="E23" s="8" t="inlineStr">
        <is>
          <t>Quân</t>
        </is>
      </c>
      <c r="F23" s="9" t="n">
        <v>46301</v>
      </c>
      <c r="G23" s="9" t="n">
        <v>46314</v>
      </c>
      <c r="H23" s="9" t="n"/>
      <c r="I23" s="13" t="inlineStr">
        <is>
          <t>Cần làm</t>
        </is>
      </c>
      <c r="J23" s="14">
        <f>IF(OR(I23="Xong",I23="Huỷ",G23=""),"",IF(IF(H23="",G23,H23)&lt;TODAY(),"TRỄ",IF(IF(H23="",G23,H23)-TODAY()&lt;=2,"Sắp hạn","")))</f>
        <v/>
      </c>
      <c r="K23" s="8" t="inlineStr">
        <is>
          <t>Mọi công thức hợp lệ trong benchmark P0 tính ra được số</t>
        </is>
      </c>
      <c r="L23" s="8" t="inlineStr"/>
      <c r="M23" s="13" t="inlineStr"/>
      <c r="N23" s="8" t="inlineStr">
        <is>
          <t>README mục 10: cầu nối khối 2 → khối 3</t>
        </is>
      </c>
    </row>
    <row r="24">
      <c r="A24" s="13" t="inlineStr">
        <is>
          <t>V23</t>
        </is>
      </c>
      <c r="B24" s="13" t="inlineStr">
        <is>
          <t>P3</t>
        </is>
      </c>
      <c r="C24" s="8" t="inlineStr">
        <is>
          <t>Chunk thuyết minh + index PhoBERT-base + bộ truy xuất</t>
        </is>
      </c>
      <c r="D24" s="13" t="inlineStr">
        <is>
          <t>Thắng</t>
        </is>
      </c>
      <c r="E24" s="8" t="inlineStr">
        <is>
          <t>Quân</t>
        </is>
      </c>
      <c r="F24" s="9" t="n">
        <v>46308</v>
      </c>
      <c r="G24" s="9" t="n">
        <v>46321</v>
      </c>
      <c r="H24" s="9" t="n"/>
      <c r="I24" s="13" t="inlineStr">
        <is>
          <t>Cần làm</t>
        </is>
      </c>
      <c r="J24" s="14">
        <f>IF(OR(I24="Xong",I24="Huỷ",G24=""),"",IF(IF(H24="",G24,H24)&lt;TODAY(),"TRỄ",IF(IF(H24="",G24,H24)-TODAY()&lt;=2,"Sắp hạn","")))</f>
        <v/>
      </c>
      <c r="K24" s="8" t="inlineStr">
        <is>
          <t>Truy vấn → trả về top-k đoạn thuyết minh</t>
        </is>
      </c>
      <c r="L24" s="8" t="inlineStr">
        <is>
          <t>V16</t>
        </is>
      </c>
      <c r="M24" s="13" t="inlineStr">
        <is>
          <t>13</t>
        </is>
      </c>
      <c r="N24" s="8" t="inlineStr"/>
    </row>
    <row r="25">
      <c r="A25" s="13" t="inlineStr">
        <is>
          <t>V24</t>
        </is>
      </c>
      <c r="B25" s="13" t="inlineStr">
        <is>
          <t>P3</t>
        </is>
      </c>
      <c r="C25" s="8" t="inlineStr">
        <is>
          <t>Đánh giá truy xuất trên 50 truy vấn gán nhãn tay</t>
        </is>
      </c>
      <c r="D25" s="13" t="inlineStr">
        <is>
          <t>Thắng</t>
        </is>
      </c>
      <c r="E25" s="8" t="inlineStr">
        <is>
          <t>Quân</t>
        </is>
      </c>
      <c r="F25" s="9" t="n">
        <v>46317</v>
      </c>
      <c r="G25" s="9" t="n">
        <v>46321</v>
      </c>
      <c r="H25" s="9" t="n"/>
      <c r="I25" s="13" t="inlineStr">
        <is>
          <t>Cần làm</t>
        </is>
      </c>
      <c r="J25" s="14">
        <f>IF(OR(I25="Xong",I25="Huỷ",G25=""),"",IF(IF(H25="",G25,H25)&lt;TODAY(),"TRỄ",IF(IF(H25="",G25,H25)-TODAY()&lt;=2,"Sắp hạn","")))</f>
        <v/>
      </c>
      <c r="K25" s="8" t="inlineStr">
        <is>
          <t>Bảng recall@k / MRR trên 50 truy vấn</t>
        </is>
      </c>
      <c r="L25" s="8" t="inlineStr">
        <is>
          <t>V23</t>
        </is>
      </c>
      <c r="M25" s="13" t="inlineStr">
        <is>
          <t>14</t>
        </is>
      </c>
      <c r="N25" s="8" t="inlineStr">
        <is>
          <t>Số này để trả lời câu: sao cần 2 mô hình</t>
        </is>
      </c>
    </row>
    <row r="26">
      <c r="A26" s="13" t="inlineStr">
        <is>
          <t>V25</t>
        </is>
      </c>
      <c r="B26" s="13" t="inlineStr">
        <is>
          <t>P4</t>
        </is>
      </c>
      <c r="C26" s="8" t="inlineStr">
        <is>
          <t>Thử giải mã ràng buộc ngữ pháp (GCD) trên bộ benchmark</t>
        </is>
      </c>
      <c r="D26" s="13" t="inlineStr">
        <is>
          <t>Quân</t>
        </is>
      </c>
      <c r="E26" s="8" t="inlineStr"/>
      <c r="F26" s="9" t="n">
        <v>46301</v>
      </c>
      <c r="G26" s="9" t="n">
        <v>46312</v>
      </c>
      <c r="H26" s="9" t="n"/>
      <c r="I26" s="13" t="inlineStr">
        <is>
          <t>Cần làm</t>
        </is>
      </c>
      <c r="J26" s="14">
        <f>IF(OR(I26="Xong",I26="Huỷ",G26=""),"",IF(IF(H26="",G26,H26)&lt;TODAY(),"TRỄ",IF(IF(H26="",G26,H26)-TODAY()&lt;=2,"Sắp hạn","")))</f>
        <v/>
      </c>
      <c r="K26" s="8" t="inlineStr">
        <is>
          <t>So sánh tỷ lệ hợp lệ có GCD vs không, cùng mô hình</t>
        </is>
      </c>
      <c r="L26" s="8" t="inlineStr">
        <is>
          <t>V13</t>
        </is>
      </c>
      <c r="M26" s="13" t="inlineStr"/>
      <c r="N26" s="8" t="inlineStr">
        <is>
          <t>Phòng rủi ro R03</t>
        </is>
      </c>
    </row>
    <row r="27">
      <c r="A27" s="13" t="inlineStr">
        <is>
          <t>V26</t>
        </is>
      </c>
      <c r="B27" s="13" t="inlineStr">
        <is>
          <t>P4</t>
        </is>
      </c>
      <c r="C27" s="8" t="inlineStr">
        <is>
          <t>Validator đầy đủ: loại trích dẫn bịa + khử trùng theo tương quan</t>
        </is>
      </c>
      <c r="D27" s="13" t="inlineStr">
        <is>
          <t>Quân</t>
        </is>
      </c>
      <c r="E27" s="8" t="inlineStr"/>
      <c r="F27" s="9" t="n">
        <v>46315</v>
      </c>
      <c r="G27" s="9" t="n">
        <v>46321</v>
      </c>
      <c r="H27" s="9" t="n"/>
      <c r="I27" s="13" t="inlineStr">
        <is>
          <t>Cần làm</t>
        </is>
      </c>
      <c r="J27" s="14">
        <f>IF(OR(I27="Xong",I27="Huỷ",G27=""),"",IF(IF(H27="",G27,H27)&lt;TODAY(),"TRỄ",IF(IF(H27="",G27,H27)-TODAY()&lt;=2,"Sắp hạn","")))</f>
        <v/>
      </c>
      <c r="K27" s="8" t="inlineStr">
        <is>
          <t>Validator có đủ 2 bước mới, có test</t>
        </is>
      </c>
      <c r="L27" s="8" t="inlineStr">
        <is>
          <t>V22</t>
        </is>
      </c>
      <c r="M27" s="13" t="inlineStr">
        <is>
          <t>15</t>
        </is>
      </c>
      <c r="N27" s="8" t="inlineStr"/>
    </row>
    <row r="28">
      <c r="A28" s="13" t="inlineStr">
        <is>
          <t>V27</t>
        </is>
      </c>
      <c r="B28" s="13" t="inlineStr">
        <is>
          <t>P4</t>
        </is>
      </c>
      <c r="C28" s="8" t="inlineStr">
        <is>
          <t>Sinh ~150 công thức + truy vết nguồn, log tổng số đã thử</t>
        </is>
      </c>
      <c r="D28" s="13" t="inlineStr">
        <is>
          <t>Quân</t>
        </is>
      </c>
      <c r="E28" s="8" t="inlineStr"/>
      <c r="F28" s="9" t="n">
        <v>46322</v>
      </c>
      <c r="G28" s="9" t="n">
        <v>46328</v>
      </c>
      <c r="H28" s="9" t="n"/>
      <c r="I28" s="13" t="inlineStr">
        <is>
          <t>Cần làm</t>
        </is>
      </c>
      <c r="J28" s="14">
        <f>IF(OR(I28="Xong",I28="Huỷ",G28=""),"",IF(IF(H28="",G28,H28)&lt;TODAY(),"TRỄ",IF(IF(H28="",G28,H28)-TODAY()&lt;=2,"Sắp hạn","")))</f>
        <v/>
      </c>
      <c r="K28" s="8" t="inlineStr">
        <is>
          <t>~150 công thức hợp lệ, mỗi công thức có nguồn; log tổng số lần thử</t>
        </is>
      </c>
      <c r="L28" s="8" t="inlineStr">
        <is>
          <t>V25, V26</t>
        </is>
      </c>
      <c r="M28" s="13" t="inlineStr">
        <is>
          <t>16</t>
        </is>
      </c>
      <c r="N28" s="8" t="inlineStr"/>
    </row>
    <row r="29">
      <c r="A29" s="13" t="inlineStr">
        <is>
          <t>V28</t>
        </is>
      </c>
      <c r="B29" s="13" t="inlineStr">
        <is>
          <t>P4</t>
        </is>
      </c>
      <c r="C29" s="8" t="inlineStr">
        <is>
          <t>HITL: duyệt công thức + biên bản lý do loại từng công thức</t>
        </is>
      </c>
      <c r="D29" s="13" t="inlineStr">
        <is>
          <t>Thắng</t>
        </is>
      </c>
      <c r="E29" s="8" t="inlineStr">
        <is>
          <t>Trung</t>
        </is>
      </c>
      <c r="F29" s="9" t="n">
        <v>46322</v>
      </c>
      <c r="G29" s="9" t="n">
        <v>46328</v>
      </c>
      <c r="H29" s="9" t="n"/>
      <c r="I29" s="13" t="inlineStr">
        <is>
          <t>Cần làm</t>
        </is>
      </c>
      <c r="J29" s="14">
        <f>IF(OR(I29="Xong",I29="Huỷ",G29=""),"",IF(IF(H29="",G29,H29)&lt;TODAY(),"TRỄ",IF(IF(H29="",G29,H29)-TODAY()&lt;=2,"Sắp hạn","")))</f>
        <v/>
      </c>
      <c r="K29" s="8" t="inlineStr">
        <is>
          <t>Mỗi công thức có điểm + lý do giữ/loại</t>
        </is>
      </c>
      <c r="L29" s="8" t="inlineStr">
        <is>
          <t>V27</t>
        </is>
      </c>
      <c r="M29" s="13" t="inlineStr">
        <is>
          <t>17</t>
        </is>
      </c>
      <c r="N29" s="8" t="inlineStr">
        <is>
          <t>Người sinh công thức (Quân) không tự duyệt</t>
        </is>
      </c>
    </row>
    <row r="30">
      <c r="A30" s="13" t="inlineStr">
        <is>
          <t>V29</t>
        </is>
      </c>
      <c r="B30" s="13" t="inlineStr">
        <is>
          <t>P4</t>
        </is>
      </c>
      <c r="C30" s="8" t="inlineStr">
        <is>
          <t>CHỐT 2 — GO/NO-GO: tỷ lệ công thức hợp lệ ≥60%?</t>
        </is>
      </c>
      <c r="D30" s="13" t="inlineStr">
        <is>
          <t>Quân</t>
        </is>
      </c>
      <c r="E30" s="8" t="inlineStr">
        <is>
          <t>Thắng, Trung</t>
        </is>
      </c>
      <c r="F30" s="9" t="n">
        <v>46329</v>
      </c>
      <c r="G30" s="9" t="n">
        <v>46329</v>
      </c>
      <c r="H30" s="9" t="n"/>
      <c r="I30" s="13" t="inlineStr">
        <is>
          <t>Cần làm</t>
        </is>
      </c>
      <c r="J30" s="14">
        <f>IF(OR(I30="Xong",I30="Huỷ",G30=""),"",IF(IF(H30="",G30,H30)&lt;TODAY(),"TRỄ",IF(IF(H30="",G30,H30)-TODAY()&lt;=2,"Sắp hạn","")))</f>
        <v/>
      </c>
      <c r="K30" s="8" t="inlineStr">
        <is>
          <t>Quyết định ghi vào tab Quyết định</t>
        </is>
      </c>
      <c r="L30" s="8" t="inlineStr">
        <is>
          <t>V27</t>
        </is>
      </c>
      <c r="M30" s="13" t="inlineStr">
        <is>
          <t>18</t>
        </is>
      </c>
      <c r="N30" s="8" t="inlineStr">
        <is>
          <t>NO-GO → few-shot + grammar, không đổi mô hình</t>
        </is>
      </c>
    </row>
    <row r="31">
      <c r="A31" s="13" t="inlineStr">
        <is>
          <t>V30</t>
        </is>
      </c>
      <c r="B31" s="13" t="inlineStr">
        <is>
          <t>P5</t>
        </is>
      </c>
      <c r="C31" s="8" t="inlineStr">
        <is>
          <t>Gán point-in-time theo ngày công bố + bản ngây thơ theo ngày cuối quý</t>
        </is>
      </c>
      <c r="D31" s="13" t="inlineStr">
        <is>
          <t>Trung</t>
        </is>
      </c>
      <c r="E31" s="8" t="inlineStr"/>
      <c r="F31" s="9" t="n">
        <v>46329</v>
      </c>
      <c r="G31" s="9" t="n">
        <v>46335</v>
      </c>
      <c r="H31" s="9" t="n"/>
      <c r="I31" s="13" t="inlineStr">
        <is>
          <t>Cần làm</t>
        </is>
      </c>
      <c r="J31" s="14">
        <f>IF(OR(I31="Xong",I31="Huỷ",G31=""),"",IF(IF(H31="",G31,H31)&lt;TODAY(),"TRỄ",IF(IF(H31="",G31,H31)-TODAY()&lt;=2,"Sắp hạn","")))</f>
        <v/>
      </c>
      <c r="K31" s="8" t="inlineStr">
        <is>
          <t>2 bộ giá trị nhân tố song song → Bảng 2</t>
        </is>
      </c>
      <c r="L31" s="8" t="inlineStr">
        <is>
          <t>V15, V22</t>
        </is>
      </c>
      <c r="M31" s="13" t="inlineStr">
        <is>
          <t>19</t>
        </is>
      </c>
      <c r="N31" s="8" t="inlineStr"/>
    </row>
    <row r="32">
      <c r="A32" s="13" t="inlineStr">
        <is>
          <t>V31</t>
        </is>
      </c>
      <c r="B32" s="13" t="inlineStr">
        <is>
          <t>P5</t>
        </is>
      </c>
      <c r="C32" s="8" t="inlineStr">
        <is>
          <t>LightGBM + MLP (+ tuyến tính nếu thầy duyệt H5), walk-forward</t>
        </is>
      </c>
      <c r="D32" s="13" t="inlineStr">
        <is>
          <t>Trung</t>
        </is>
      </c>
      <c r="E32" s="8" t="inlineStr"/>
      <c r="F32" s="9" t="n">
        <v>46329</v>
      </c>
      <c r="G32" s="9" t="n">
        <v>46342</v>
      </c>
      <c r="H32" s="9" t="n"/>
      <c r="I32" s="13" t="inlineStr">
        <is>
          <t>Cần làm</t>
        </is>
      </c>
      <c r="J32" s="14">
        <f>IF(OR(I32="Xong",I32="Huỷ",G32=""),"",IF(IF(H32="",G32,H32)&lt;TODAY(),"TRỄ",IF(IF(H32="",G32,H32)-TODAY()&lt;=2,"Sắp hạn","")))</f>
        <v/>
      </c>
      <c r="K32" s="8" t="inlineStr">
        <is>
          <t>Mô hình huấn luyện walk-forward, chọn tham số chỉ trên quá khứ</t>
        </is>
      </c>
      <c r="L32" s="8" t="inlineStr">
        <is>
          <t>V30</t>
        </is>
      </c>
      <c r="M32" s="13" t="inlineStr">
        <is>
          <t>20</t>
        </is>
      </c>
      <c r="N32" s="8" t="inlineStr">
        <is>
          <t>Không dùng LLM chọn feature theo kết quả</t>
        </is>
      </c>
    </row>
    <row r="33">
      <c r="A33" s="13" t="inlineStr">
        <is>
          <t>V32</t>
        </is>
      </c>
      <c r="B33" s="13" t="inlineStr">
        <is>
          <t>P5</t>
        </is>
      </c>
      <c r="C33" s="8" t="inlineStr">
        <is>
          <t>Backtest đầy đủ, xuất Bảng 1 / 2 / 3</t>
        </is>
      </c>
      <c r="D33" s="13" t="inlineStr">
        <is>
          <t>Trung</t>
        </is>
      </c>
      <c r="E33" s="8" t="inlineStr">
        <is>
          <t>Quân</t>
        </is>
      </c>
      <c r="F33" s="9" t="n">
        <v>46336</v>
      </c>
      <c r="G33" s="9" t="n">
        <v>46342</v>
      </c>
      <c r="H33" s="9" t="n"/>
      <c r="I33" s="13" t="inlineStr">
        <is>
          <t>Cần làm</t>
        </is>
      </c>
      <c r="J33" s="14">
        <f>IF(OR(I33="Xong",I33="Huỷ",G33=""),"",IF(IF(H33="",G33,H33)&lt;TODAY(),"TRỄ",IF(IF(H33="",G33,H33)-TODAY()&lt;=2,"Sắp hạn","")))</f>
        <v/>
      </c>
      <c r="K33" s="8" t="inlineStr">
        <is>
          <t>3 bảng kết quả có số</t>
        </is>
      </c>
      <c r="L33" s="8" t="inlineStr">
        <is>
          <t>V20, V31</t>
        </is>
      </c>
      <c r="M33" s="13" t="inlineStr">
        <is>
          <t>21</t>
        </is>
      </c>
      <c r="N33" s="8" t="inlineStr">
        <is>
          <t>Xương sống của bài</t>
        </is>
      </c>
    </row>
    <row r="34">
      <c r="A34" s="13" t="inlineStr">
        <is>
          <t>V33</t>
        </is>
      </c>
      <c r="B34" s="13" t="inlineStr">
        <is>
          <t>P6</t>
        </is>
      </c>
      <c r="C34" s="8" t="inlineStr">
        <is>
          <t>Baseline API trên mẫu con 50 DN × 3 năm</t>
        </is>
      </c>
      <c r="D34" s="13" t="inlineStr">
        <is>
          <t>Quân</t>
        </is>
      </c>
      <c r="E34" s="8" t="inlineStr"/>
      <c r="F34" s="9" t="n">
        <v>46343</v>
      </c>
      <c r="G34" s="9" t="n">
        <v>46349</v>
      </c>
      <c r="H34" s="9" t="n"/>
      <c r="I34" s="13" t="inlineStr">
        <is>
          <t>Cần làm</t>
        </is>
      </c>
      <c r="J34" s="14">
        <f>IF(OR(I34="Xong",I34="Huỷ",G34=""),"",IF(IF(H34="",G34,H34)&lt;TODAY(),"TRỄ",IF(IF(H34="",G34,H34)-TODAY()&lt;=2,"Sắp hạn","")))</f>
        <v/>
      </c>
      <c r="K34" s="8" t="inlineStr">
        <is>
          <t>Dòng baseline API trong Bảng 1</t>
        </is>
      </c>
      <c r="L34" s="8" t="inlineStr">
        <is>
          <t>V32</t>
        </is>
      </c>
      <c r="M34" s="13" t="inlineStr">
        <is>
          <t>22</t>
        </is>
      </c>
      <c r="N34" s="8" t="inlineStr"/>
    </row>
    <row r="35">
      <c r="A35" s="13" t="inlineStr">
        <is>
          <t>V34</t>
        </is>
      </c>
      <c r="B35" s="13" t="inlineStr">
        <is>
          <t>P6</t>
        </is>
      </c>
      <c r="C35" s="8" t="inlineStr">
        <is>
          <t>Ablation 2 cấu hình: bỏ RAG, bỏ HITL</t>
        </is>
      </c>
      <c r="D35" s="13" t="inlineStr">
        <is>
          <t>Thắng</t>
        </is>
      </c>
      <c r="E35" s="8" t="inlineStr">
        <is>
          <t>Quân</t>
        </is>
      </c>
      <c r="F35" s="9" t="n">
        <v>46343</v>
      </c>
      <c r="G35" s="9" t="n">
        <v>46349</v>
      </c>
      <c r="H35" s="9" t="n"/>
      <c r="I35" s="13" t="inlineStr">
        <is>
          <t>Cần làm</t>
        </is>
      </c>
      <c r="J35" s="14">
        <f>IF(OR(I35="Xong",I35="Huỷ",G35=""),"",IF(IF(H35="",G35,H35)&lt;TODAY(),"TRỄ",IF(IF(H35="",G35,H35)-TODAY()&lt;=2,"Sắp hạn","")))</f>
        <v/>
      </c>
      <c r="K35" s="8" t="inlineStr">
        <is>
          <t>Dòng ablation trong Bảng 1</t>
        </is>
      </c>
      <c r="L35" s="8" t="inlineStr">
        <is>
          <t>V32</t>
        </is>
      </c>
      <c r="M35" s="13" t="inlineStr">
        <is>
          <t>23</t>
        </is>
      </c>
      <c r="N35" s="8" t="inlineStr"/>
    </row>
    <row r="36">
      <c r="A36" s="13" t="inlineStr">
        <is>
          <t>V35</t>
        </is>
      </c>
      <c r="B36" s="13" t="inlineStr">
        <is>
          <t>P6</t>
        </is>
      </c>
      <c r="C36" s="8" t="inlineStr">
        <is>
          <t>Demo Streamlit 1 màn hình: nhập mã → công thức + đoạn nguồn + xếp hạng</t>
        </is>
      </c>
      <c r="D36" s="13" t="inlineStr">
        <is>
          <t>Thắng</t>
        </is>
      </c>
      <c r="E36" s="8" t="inlineStr"/>
      <c r="F36" s="9" t="n">
        <v>46343</v>
      </c>
      <c r="G36" s="9" t="n">
        <v>46356</v>
      </c>
      <c r="H36" s="9" t="n"/>
      <c r="I36" s="13" t="inlineStr">
        <is>
          <t>Cần làm</t>
        </is>
      </c>
      <c r="J36" s="14">
        <f>IF(OR(I36="Xong",I36="Huỷ",G36=""),"",IF(IF(H36="",G36,H36)&lt;TODAY(),"TRỄ",IF(IF(H36="",G36,H36)-TODAY()&lt;=2,"Sắp hạn","")))</f>
        <v/>
      </c>
      <c r="K36" s="8" t="inlineStr">
        <is>
          <t>Thầy bấm thử được trên máy khác</t>
        </is>
      </c>
      <c r="L36" s="8" t="inlineStr">
        <is>
          <t>V32</t>
        </is>
      </c>
      <c r="M36" s="13" t="inlineStr">
        <is>
          <t>24</t>
        </is>
      </c>
      <c r="N36" s="8" t="inlineStr"/>
    </row>
    <row r="37">
      <c r="A37" s="13" t="inlineStr">
        <is>
          <t>V36</t>
        </is>
      </c>
      <c r="B37" s="13" t="inlineStr">
        <is>
          <t>P7</t>
        </is>
      </c>
      <c r="C37" s="8" t="inlineStr">
        <is>
          <t>Kiểm định: t-stat, sai số chuẩn, giai đoạn con, hiệu chỉnh đa giả thuyết</t>
        </is>
      </c>
      <c r="D37" s="13" t="inlineStr">
        <is>
          <t>Trung</t>
        </is>
      </c>
      <c r="E37" s="8" t="inlineStr"/>
      <c r="F37" s="9" t="n">
        <v>46350</v>
      </c>
      <c r="G37" s="9" t="n">
        <v>46356</v>
      </c>
      <c r="H37" s="9" t="n"/>
      <c r="I37" s="13" t="inlineStr">
        <is>
          <t>Cần làm</t>
        </is>
      </c>
      <c r="J37" s="14">
        <f>IF(OR(I37="Xong",I37="Huỷ",G37=""),"",IF(IF(H37="",G37,H37)&lt;TODAY(),"TRỄ",IF(IF(H37="",G37,H37)-TODAY()&lt;=2,"Sắp hạn","")))</f>
        <v/>
      </c>
      <c r="K37" s="8" t="inlineStr">
        <is>
          <t>Mọi số trong Bảng 1/2/3 có t-stat + sai số chuẩn</t>
        </is>
      </c>
      <c r="L37" s="8" t="inlineStr">
        <is>
          <t>V32</t>
        </is>
      </c>
      <c r="M37" s="13" t="inlineStr">
        <is>
          <t>25</t>
        </is>
      </c>
      <c r="N37" s="8" t="inlineStr">
        <is>
          <t>KHÔNG CẮT</t>
        </is>
      </c>
    </row>
    <row r="38">
      <c r="A38" s="13" t="inlineStr">
        <is>
          <t>V37</t>
        </is>
      </c>
      <c r="B38" s="13" t="inlineStr">
        <is>
          <t>P7</t>
        </is>
      </c>
      <c r="C38" s="8" t="inlineStr">
        <is>
          <t>ĐÓNG BĂNG KẾT QUẢ</t>
        </is>
      </c>
      <c r="D38" s="13" t="inlineStr">
        <is>
          <t>Quân</t>
        </is>
      </c>
      <c r="E38" s="8" t="inlineStr">
        <is>
          <t>Thắng, Trung</t>
        </is>
      </c>
      <c r="F38" s="9" t="n">
        <v>46356</v>
      </c>
      <c r="G38" s="9" t="n">
        <v>46356</v>
      </c>
      <c r="H38" s="9" t="n"/>
      <c r="I38" s="13" t="inlineStr">
        <is>
          <t>Cần làm</t>
        </is>
      </c>
      <c r="J38" s="14">
        <f>IF(OR(I38="Xong",I38="Huỷ",G38=""),"",IF(IF(H38="",G38,H38)&lt;TODAY(),"TRỄ",IF(IF(H38="",G38,H38)-TODAY()&lt;=2,"Sắp hạn","")))</f>
        <v/>
      </c>
      <c r="K38" s="8" t="inlineStr">
        <is>
          <t>Không chạy thí nghiệm mới sau mốc này</t>
        </is>
      </c>
      <c r="L38" s="8" t="inlineStr">
        <is>
          <t>V36</t>
        </is>
      </c>
      <c r="M38" s="13" t="inlineStr">
        <is>
          <t>26</t>
        </is>
      </c>
      <c r="N38" s="8" t="inlineStr"/>
    </row>
    <row r="39">
      <c r="A39" s="13" t="inlineStr">
        <is>
          <t>V38</t>
        </is>
      </c>
      <c r="B39" s="13" t="inlineStr">
        <is>
          <t>P8</t>
        </is>
      </c>
      <c r="C39" s="8" t="inlineStr">
        <is>
          <t>Chương 1–2: tổng quan, khoảng trống, cơ sở lý thuyết</t>
        </is>
      </c>
      <c r="D39" s="13" t="inlineStr">
        <is>
          <t>Thắng</t>
        </is>
      </c>
      <c r="E39" s="8" t="inlineStr">
        <is>
          <t>Quân</t>
        </is>
      </c>
      <c r="F39" s="9" t="n">
        <v>46315</v>
      </c>
      <c r="G39" s="9" t="n">
        <v>46335</v>
      </c>
      <c r="H39" s="9" t="n"/>
      <c r="I39" s="13" t="inlineStr">
        <is>
          <t>Cần làm</t>
        </is>
      </c>
      <c r="J39" s="14">
        <f>IF(OR(I39="Xong",I39="Huỷ",G39=""),"",IF(IF(H39="",G39,H39)&lt;TODAY(),"TRỄ",IF(IF(H39="",G39,H39)-TODAY()&lt;=2,"Sắp hạn","")))</f>
        <v/>
      </c>
      <c r="K39" s="8" t="inlineStr">
        <is>
          <t>Bản nháp đủ 2 chương</t>
        </is>
      </c>
      <c r="L39" s="8" t="inlineStr"/>
      <c r="M39" s="13" t="inlineStr">
        <is>
          <t>27</t>
        </is>
      </c>
      <c r="N39" s="8" t="inlineStr">
        <is>
          <t>Nguồn chính: docs/GAP_research.pdf</t>
        </is>
      </c>
    </row>
    <row r="40">
      <c r="A40" s="13" t="inlineStr">
        <is>
          <t>V39</t>
        </is>
      </c>
      <c r="B40" s="13" t="inlineStr">
        <is>
          <t>P8</t>
        </is>
      </c>
      <c r="C40" s="8" t="inlineStr">
        <is>
          <t>Chương 3: phương pháp — mỗi người viết phần mình làm, Quân gom</t>
        </is>
      </c>
      <c r="D40" s="13" t="inlineStr">
        <is>
          <t>Quân</t>
        </is>
      </c>
      <c r="E40" s="8" t="inlineStr">
        <is>
          <t>Thắng, Trung</t>
        </is>
      </c>
      <c r="F40" s="9" t="n">
        <v>46329</v>
      </c>
      <c r="G40" s="9" t="n">
        <v>46342</v>
      </c>
      <c r="H40" s="9" t="n"/>
      <c r="I40" s="13" t="inlineStr">
        <is>
          <t>Cần làm</t>
        </is>
      </c>
      <c r="J40" s="14">
        <f>IF(OR(I40="Xong",I40="Huỷ",G40=""),"",IF(IF(H40="",G40,H40)&lt;TODAY(),"TRỄ",IF(IF(H40="",G40,H40)-TODAY()&lt;=2,"Sắp hạn","")))</f>
        <v/>
      </c>
      <c r="K40" s="8" t="inlineStr">
        <is>
          <t>Bản nháp Chương 3</t>
        </is>
      </c>
      <c r="L40" s="8" t="inlineStr"/>
      <c r="M40" s="13" t="inlineStr">
        <is>
          <t>28</t>
        </is>
      </c>
      <c r="N40" s="8" t="inlineStr">
        <is>
          <t>Căn cứ chọn mô hình lấy từ tờ trình</t>
        </is>
      </c>
    </row>
    <row r="41">
      <c r="A41" s="13" t="inlineStr">
        <is>
          <t>V40</t>
        </is>
      </c>
      <c r="B41" s="13" t="inlineStr">
        <is>
          <t>P8</t>
        </is>
      </c>
      <c r="C41" s="8" t="inlineStr">
        <is>
          <t>Chương 4–5: kết quả, thảo luận, hạn chế</t>
        </is>
      </c>
      <c r="D41" s="13" t="inlineStr">
        <is>
          <t>Trung</t>
        </is>
      </c>
      <c r="E41" s="8" t="inlineStr">
        <is>
          <t>Quân</t>
        </is>
      </c>
      <c r="F41" s="9" t="n">
        <v>46343</v>
      </c>
      <c r="G41" s="9" t="n">
        <v>46356</v>
      </c>
      <c r="H41" s="9" t="n"/>
      <c r="I41" s="13" t="inlineStr">
        <is>
          <t>Cần làm</t>
        </is>
      </c>
      <c r="J41" s="14">
        <f>IF(OR(I41="Xong",I41="Huỷ",G41=""),"",IF(IF(H41="",G41,H41)&lt;TODAY(),"TRỄ",IF(IF(H41="",G41,H41)-TODAY()&lt;=2,"Sắp hạn","")))</f>
        <v/>
      </c>
      <c r="K41" s="8" t="inlineStr">
        <is>
          <t>Khung viết trước, số điền ngay khi có</t>
        </is>
      </c>
      <c r="L41" s="8" t="inlineStr">
        <is>
          <t>V32</t>
        </is>
      </c>
      <c r="M41" s="13" t="inlineStr">
        <is>
          <t>29</t>
        </is>
      </c>
      <c r="N41" s="8" t="inlineStr"/>
    </row>
    <row r="42">
      <c r="A42" s="13" t="inlineStr">
        <is>
          <t>V41</t>
        </is>
      </c>
      <c r="B42" s="13" t="inlineStr">
        <is>
          <t>P8</t>
        </is>
      </c>
      <c r="C42" s="8" t="inlineStr">
        <is>
          <t>CHỐT 3: nộp bản nháp đầy đủ cho GVHD</t>
        </is>
      </c>
      <c r="D42" s="13" t="inlineStr">
        <is>
          <t>Quân</t>
        </is>
      </c>
      <c r="E42" s="8" t="inlineStr">
        <is>
          <t>Thắng, Trung</t>
        </is>
      </c>
      <c r="F42" s="9" t="n">
        <v>46356</v>
      </c>
      <c r="G42" s="9" t="n">
        <v>46356</v>
      </c>
      <c r="H42" s="9" t="n"/>
      <c r="I42" s="13" t="inlineStr">
        <is>
          <t>Cần làm</t>
        </is>
      </c>
      <c r="J42" s="14">
        <f>IF(OR(I42="Xong",I42="Huỷ",G42=""),"",IF(IF(H42="",G42,H42)&lt;TODAY(),"TRỄ",IF(IF(H42="",G42,H42)-TODAY()&lt;=2,"Sắp hạn","")))</f>
        <v/>
      </c>
      <c r="K42" s="8" t="inlineStr">
        <is>
          <t>Thầy nhận bản nháp, còn đủ 10 ngày để sửa</t>
        </is>
      </c>
      <c r="L42" s="8" t="inlineStr">
        <is>
          <t>V38, V39, V40</t>
        </is>
      </c>
      <c r="M42" s="13" t="inlineStr">
        <is>
          <t>30</t>
        </is>
      </c>
      <c r="N42" s="8" t="inlineStr"/>
    </row>
    <row r="43">
      <c r="A43" s="13" t="inlineStr">
        <is>
          <t>V42</t>
        </is>
      </c>
      <c r="B43" s="13" t="inlineStr">
        <is>
          <t>P8</t>
        </is>
      </c>
      <c r="C43" s="8" t="inlineStr">
        <is>
          <t>Sửa theo góp ý thầy (vòng 1)</t>
        </is>
      </c>
      <c r="D43" s="13" t="inlineStr">
        <is>
          <t>Quân</t>
        </is>
      </c>
      <c r="E43" s="8" t="inlineStr">
        <is>
          <t>Thắng, Trung</t>
        </is>
      </c>
      <c r="F43" s="9" t="n">
        <v>46360</v>
      </c>
      <c r="G43" s="9" t="n">
        <v>46365</v>
      </c>
      <c r="H43" s="9" t="n"/>
      <c r="I43" s="13" t="inlineStr">
        <is>
          <t>Cần làm</t>
        </is>
      </c>
      <c r="J43" s="14">
        <f>IF(OR(I43="Xong",I43="Huỷ",G43=""),"",IF(IF(H43="",G43,H43)&lt;TODAY(),"TRỄ",IF(IF(H43="",G43,H43)-TODAY()&lt;=2,"Sắp hạn","")))</f>
        <v/>
      </c>
      <c r="K43" s="8" t="inlineStr">
        <is>
          <t>Mọi góp ý đã xử lý hoặc có lý do không sửa</t>
        </is>
      </c>
      <c r="L43" s="8" t="inlineStr">
        <is>
          <t>V41</t>
        </is>
      </c>
      <c r="M43" s="13" t="inlineStr">
        <is>
          <t>31</t>
        </is>
      </c>
      <c r="N43" s="8" t="inlineStr"/>
    </row>
    <row r="44">
      <c r="A44" s="13" t="inlineStr">
        <is>
          <t>V43</t>
        </is>
      </c>
      <c r="B44" s="13" t="inlineStr">
        <is>
          <t>P8</t>
        </is>
      </c>
      <c r="C44" s="8" t="inlineStr">
        <is>
          <t>Format, mục lục, danh mục bảng/hình, kiểm tra đạo văn, trích dẫn APA</t>
        </is>
      </c>
      <c r="D44" s="13" t="inlineStr">
        <is>
          <t>Thắng</t>
        </is>
      </c>
      <c r="E44" s="8" t="inlineStr"/>
      <c r="F44" s="9" t="n">
        <v>46365</v>
      </c>
      <c r="G44" s="9" t="n">
        <v>46368</v>
      </c>
      <c r="H44" s="9" t="n"/>
      <c r="I44" s="13" t="inlineStr">
        <is>
          <t>Cần làm</t>
        </is>
      </c>
      <c r="J44" s="14">
        <f>IF(OR(I44="Xong",I44="Huỷ",G44=""),"",IF(IF(H44="",G44,H44)&lt;TODAY(),"TRỄ",IF(IF(H44="",G44,H44)-TODAY()&lt;=2,"Sắp hạn","")))</f>
        <v/>
      </c>
      <c r="K44" s="8" t="inlineStr">
        <is>
          <t>Bản đúng mẫu trình bày, báo cáo đạo văn đạt</t>
        </is>
      </c>
      <c r="L44" s="8" t="inlineStr">
        <is>
          <t>V42</t>
        </is>
      </c>
      <c r="M44" s="13" t="inlineStr">
        <is>
          <t>32</t>
        </is>
      </c>
      <c r="N44" s="8" t="inlineStr"/>
    </row>
    <row r="45">
      <c r="A45" s="13" t="inlineStr">
        <is>
          <t>V44</t>
        </is>
      </c>
      <c r="B45" s="13" t="inlineStr">
        <is>
          <t>P8</t>
        </is>
      </c>
      <c r="C45" s="8" t="inlineStr">
        <is>
          <t>Bản cuối sẵn sàng, in / đóng quyển</t>
        </is>
      </c>
      <c r="D45" s="13" t="inlineStr">
        <is>
          <t>Trung</t>
        </is>
      </c>
      <c r="E45" s="8" t="inlineStr"/>
      <c r="F45" s="9" t="n">
        <v>46368</v>
      </c>
      <c r="G45" s="9" t="n">
        <v>46369</v>
      </c>
      <c r="H45" s="9" t="n"/>
      <c r="I45" s="13" t="inlineStr">
        <is>
          <t>Cần làm</t>
        </is>
      </c>
      <c r="J45" s="14">
        <f>IF(OR(I45="Xong",I45="Huỷ",G45=""),"",IF(IF(H45="",G45,H45)&lt;TODAY(),"TRỄ",IF(IF(H45="",G45,H45)-TODAY()&lt;=2,"Sắp hạn","")))</f>
        <v/>
      </c>
      <c r="K45" s="8" t="inlineStr">
        <is>
          <t>Có bản in trước hạn 1 ngày</t>
        </is>
      </c>
      <c r="L45" s="8" t="inlineStr">
        <is>
          <t>V43</t>
        </is>
      </c>
      <c r="M45" s="13" t="inlineStr">
        <is>
          <t>33</t>
        </is>
      </c>
      <c r="N45" s="8" t="inlineStr"/>
    </row>
    <row r="46">
      <c r="A46" s="13" t="inlineStr">
        <is>
          <t>V45</t>
        </is>
      </c>
      <c r="B46" s="13" t="inlineStr">
        <is>
          <t>P8</t>
        </is>
      </c>
      <c r="C46" s="8" t="inlineStr">
        <is>
          <t>NỘP BÁO CÁO</t>
        </is>
      </c>
      <c r="D46" s="13" t="inlineStr">
        <is>
          <t>Quân</t>
        </is>
      </c>
      <c r="E46" s="8" t="inlineStr">
        <is>
          <t>Thắng, Trung</t>
        </is>
      </c>
      <c r="F46" s="9" t="n">
        <v>46370</v>
      </c>
      <c r="G46" s="9" t="n">
        <v>46370</v>
      </c>
      <c r="H46" s="9" t="n"/>
      <c r="I46" s="13" t="inlineStr">
        <is>
          <t>Cần làm</t>
        </is>
      </c>
      <c r="J46" s="14">
        <f>IF(OR(I46="Xong",I46="Huỷ",G46=""),"",IF(IF(H46="",G46,H46)&lt;TODAY(),"TRỄ",IF(IF(H46="",G46,H46)-TODAY()&lt;=2,"Sắp hạn","")))</f>
        <v/>
      </c>
      <c r="K46" s="8" t="inlineStr">
        <is>
          <t>Đã nộp</t>
        </is>
      </c>
      <c r="L46" s="8" t="inlineStr">
        <is>
          <t>V44</t>
        </is>
      </c>
      <c r="M46" s="13" t="inlineStr">
        <is>
          <t>34</t>
        </is>
      </c>
      <c r="N46" s="8" t="inlineStr">
        <is>
          <t>HẠN CHỐT</t>
        </is>
      </c>
    </row>
    <row r="47">
      <c r="A47" s="13" t="inlineStr">
        <is>
          <t>V46</t>
        </is>
      </c>
      <c r="B47" s="13" t="inlineStr">
        <is>
          <t>P9</t>
        </is>
      </c>
      <c r="C47" s="8" t="inlineStr">
        <is>
          <t>Slide + tập phản biện + chạy thử demo trên máy hội đồng</t>
        </is>
      </c>
      <c r="D47" s="13" t="inlineStr">
        <is>
          <t>Quân</t>
        </is>
      </c>
      <c r="E47" s="8" t="inlineStr">
        <is>
          <t>Thắng, Trung</t>
        </is>
      </c>
      <c r="F47" s="9" t="n">
        <v>46370</v>
      </c>
      <c r="G47" s="9" t="n"/>
      <c r="H47" s="9" t="n"/>
      <c r="I47" s="13" t="inlineStr">
        <is>
          <t>Cần làm</t>
        </is>
      </c>
      <c r="J47" s="14">
        <f>IF(OR(I47="Xong",I47="Huỷ",G47=""),"",IF(IF(H47="",G47,H47)&lt;TODAY(),"TRỄ",IF(IF(H47="",G47,H47)-TODAY()&lt;=2,"Sắp hạn","")))</f>
        <v/>
      </c>
      <c r="K47" s="8" t="inlineStr">
        <is>
          <t>Mỗi người trả lời trôi 5 câu về rò rỉ dữ liệu</t>
        </is>
      </c>
      <c r="L47" s="8" t="inlineStr">
        <is>
          <t>V45</t>
        </is>
      </c>
      <c r="M47" s="13" t="inlineStr">
        <is>
          <t>35</t>
        </is>
      </c>
      <c r="N47" s="8" t="inlineStr"/>
    </row>
    <row r="48">
      <c r="F48" s="15" t="n"/>
      <c r="G48" s="15" t="n"/>
      <c r="H48" s="15" t="n"/>
      <c r="J48" s="14">
        <f>IF(OR(I48="Xong",I48="Huỷ",G48=""),"",IF(IF(H48="",G48,H48)&lt;TODAY(),"TRỄ",IF(IF(H48="",G48,H48)-TODAY()&lt;=2,"Sắp hạn","")))</f>
        <v/>
      </c>
    </row>
    <row r="49">
      <c r="F49" s="15" t="n"/>
      <c r="G49" s="15" t="n"/>
      <c r="H49" s="15" t="n"/>
      <c r="J49" s="14">
        <f>IF(OR(I49="Xong",I49="Huỷ",G49=""),"",IF(IF(H49="",G49,H49)&lt;TODAY(),"TRỄ",IF(IF(H49="",G49,H49)-TODAY()&lt;=2,"Sắp hạn","")))</f>
        <v/>
      </c>
    </row>
    <row r="50">
      <c r="F50" s="15" t="n"/>
      <c r="G50" s="15" t="n"/>
      <c r="H50" s="15" t="n"/>
      <c r="J50" s="14">
        <f>IF(OR(I50="Xong",I50="Huỷ",G50=""),"",IF(IF(H50="",G50,H50)&lt;TODAY(),"TRỄ",IF(IF(H50="",G50,H50)-TODAY()&lt;=2,"Sắp hạn","")))</f>
        <v/>
      </c>
    </row>
    <row r="51">
      <c r="F51" s="15" t="n"/>
      <c r="G51" s="15" t="n"/>
      <c r="H51" s="15" t="n"/>
      <c r="J51" s="14">
        <f>IF(OR(I51="Xong",I51="Huỷ",G51=""),"",IF(IF(H51="",G51,H51)&lt;TODAY(),"TRỄ",IF(IF(H51="",G51,H51)-TODAY()&lt;=2,"Sắp hạn","")))</f>
        <v/>
      </c>
    </row>
    <row r="52">
      <c r="F52" s="15" t="n"/>
      <c r="G52" s="15" t="n"/>
      <c r="H52" s="15" t="n"/>
      <c r="J52" s="14">
        <f>IF(OR(I52="Xong",I52="Huỷ",G52=""),"",IF(IF(H52="",G52,H52)&lt;TODAY(),"TRỄ",IF(IF(H52="",G52,H52)-TODAY()&lt;=2,"Sắp hạn","")))</f>
        <v/>
      </c>
    </row>
    <row r="53">
      <c r="F53" s="15" t="n"/>
      <c r="G53" s="15" t="n"/>
      <c r="H53" s="15" t="n"/>
      <c r="J53" s="14">
        <f>IF(OR(I53="Xong",I53="Huỷ",G53=""),"",IF(IF(H53="",G53,H53)&lt;TODAY(),"TRỄ",IF(IF(H53="",G53,H53)-TODAY()&lt;=2,"Sắp hạn","")))</f>
        <v/>
      </c>
    </row>
    <row r="54">
      <c r="F54" s="15" t="n"/>
      <c r="G54" s="15" t="n"/>
      <c r="H54" s="15" t="n"/>
      <c r="J54" s="14">
        <f>IF(OR(I54="Xong",I54="Huỷ",G54=""),"",IF(IF(H54="",G54,H54)&lt;TODAY(),"TRỄ",IF(IF(H54="",G54,H54)-TODAY()&lt;=2,"Sắp hạn","")))</f>
        <v/>
      </c>
    </row>
    <row r="55">
      <c r="F55" s="15" t="n"/>
      <c r="G55" s="15" t="n"/>
      <c r="H55" s="15" t="n"/>
      <c r="J55" s="14">
        <f>IF(OR(I55="Xong",I55="Huỷ",G55=""),"",IF(IF(H55="",G55,H55)&lt;TODAY(),"TRỄ",IF(IF(H55="",G55,H55)-TODAY()&lt;=2,"Sắp hạn","")))</f>
        <v/>
      </c>
    </row>
    <row r="56">
      <c r="F56" s="15" t="n"/>
      <c r="G56" s="15" t="n"/>
      <c r="H56" s="15" t="n"/>
      <c r="J56" s="14">
        <f>IF(OR(I56="Xong",I56="Huỷ",G56=""),"",IF(IF(H56="",G56,H56)&lt;TODAY(),"TRỄ",IF(IF(H56="",G56,H56)-TODAY()&lt;=2,"Sắp hạn","")))</f>
        <v/>
      </c>
    </row>
    <row r="57">
      <c r="F57" s="15" t="n"/>
      <c r="G57" s="15" t="n"/>
      <c r="H57" s="15" t="n"/>
      <c r="J57" s="14">
        <f>IF(OR(I57="Xong",I57="Huỷ",G57=""),"",IF(IF(H57="",G57,H57)&lt;TODAY(),"TRỄ",IF(IF(H57="",G57,H57)-TODAY()&lt;=2,"Sắp hạn","")))</f>
        <v/>
      </c>
    </row>
    <row r="58">
      <c r="F58" s="15" t="n"/>
      <c r="G58" s="15" t="n"/>
      <c r="H58" s="15" t="n"/>
      <c r="J58" s="14">
        <f>IF(OR(I58="Xong",I58="Huỷ",G58=""),"",IF(IF(H58="",G58,H58)&lt;TODAY(),"TRỄ",IF(IF(H58="",G58,H58)-TODAY()&lt;=2,"Sắp hạn","")))</f>
        <v/>
      </c>
    </row>
    <row r="59">
      <c r="F59" s="15" t="n"/>
      <c r="G59" s="15" t="n"/>
      <c r="H59" s="15" t="n"/>
      <c r="J59" s="14">
        <f>IF(OR(I59="Xong",I59="Huỷ",G59=""),"",IF(IF(H59="",G59,H59)&lt;TODAY(),"TRỄ",IF(IF(H59="",G59,H59)-TODAY()&lt;=2,"Sắp hạn","")))</f>
        <v/>
      </c>
    </row>
    <row r="60">
      <c r="F60" s="15" t="n"/>
      <c r="G60" s="15" t="n"/>
      <c r="H60" s="15" t="n"/>
      <c r="J60" s="14">
        <f>IF(OR(I60="Xong",I60="Huỷ",G60=""),"",IF(IF(H60="",G60,H60)&lt;TODAY(),"TRỄ",IF(IF(H60="",G60,H60)-TODAY()&lt;=2,"Sắp hạn","")))</f>
        <v/>
      </c>
    </row>
    <row r="61">
      <c r="F61" s="15" t="n"/>
      <c r="G61" s="15" t="n"/>
      <c r="H61" s="15" t="n"/>
      <c r="J61" s="14">
        <f>IF(OR(I61="Xong",I61="Huỷ",G61=""),"",IF(IF(H61="",G61,H61)&lt;TODAY(),"TRỄ",IF(IF(H61="",G61,H61)-TODAY()&lt;=2,"Sắp hạn","")))</f>
        <v/>
      </c>
    </row>
    <row r="62">
      <c r="F62" s="15" t="n"/>
      <c r="G62" s="15" t="n"/>
      <c r="H62" s="15" t="n"/>
      <c r="J62" s="14">
        <f>IF(OR(I62="Xong",I62="Huỷ",G62=""),"",IF(IF(H62="",G62,H62)&lt;TODAY(),"TRỄ",IF(IF(H62="",G62,H62)-TODAY()&lt;=2,"Sắp hạn","")))</f>
        <v/>
      </c>
    </row>
    <row r="63">
      <c r="F63" s="15" t="n"/>
      <c r="G63" s="15" t="n"/>
      <c r="H63" s="15" t="n"/>
      <c r="J63" s="14">
        <f>IF(OR(I63="Xong",I63="Huỷ",G63=""),"",IF(IF(H63="",G63,H63)&lt;TODAY(),"TRỄ",IF(IF(H63="",G63,H63)-TODAY()&lt;=2,"Sắp hạn","")))</f>
        <v/>
      </c>
    </row>
    <row r="64">
      <c r="F64" s="15" t="n"/>
      <c r="G64" s="15" t="n"/>
      <c r="H64" s="15" t="n"/>
      <c r="J64" s="14">
        <f>IF(OR(I64="Xong",I64="Huỷ",G64=""),"",IF(IF(H64="",G64,H64)&lt;TODAY(),"TRỄ",IF(IF(H64="",G64,H64)-TODAY()&lt;=2,"Sắp hạn","")))</f>
        <v/>
      </c>
    </row>
    <row r="65">
      <c r="F65" s="15" t="n"/>
      <c r="G65" s="15" t="n"/>
      <c r="H65" s="15" t="n"/>
      <c r="J65" s="14">
        <f>IF(OR(I65="Xong",I65="Huỷ",G65=""),"",IF(IF(H65="",G65,H65)&lt;TODAY(),"TRỄ",IF(IF(H65="",G65,H65)-TODAY()&lt;=2,"Sắp hạn","")))</f>
        <v/>
      </c>
    </row>
    <row r="66">
      <c r="F66" s="15" t="n"/>
      <c r="G66" s="15" t="n"/>
      <c r="H66" s="15" t="n"/>
      <c r="J66" s="14">
        <f>IF(OR(I66="Xong",I66="Huỷ",G66=""),"",IF(IF(H66="",G66,H66)&lt;TODAY(),"TRỄ",IF(IF(H66="",G66,H66)-TODAY()&lt;=2,"Sắp hạn","")))</f>
        <v/>
      </c>
    </row>
    <row r="67">
      <c r="F67" s="15" t="n"/>
      <c r="G67" s="15" t="n"/>
      <c r="H67" s="15" t="n"/>
      <c r="J67" s="14">
        <f>IF(OR(I67="Xong",I67="Huỷ",G67=""),"",IF(IF(H67="",G67,H67)&lt;TODAY(),"TRỄ",IF(IF(H67="",G67,H67)-TODAY()&lt;=2,"Sắp hạn","")))</f>
        <v/>
      </c>
    </row>
  </sheetData>
  <autoFilter ref="A1:N47"/>
  <conditionalFormatting sqref="A2:N100">
    <cfRule type="expression" priority="1" dxfId="1" stopIfTrue="1">
      <formula>$I2="Xong"</formula>
    </cfRule>
    <cfRule type="expression" priority="2" dxfId="2" stopIfTrue="1">
      <formula>$I2="Huỷ"</formula>
    </cfRule>
    <cfRule type="expression" priority="3" dxfId="3">
      <formula>$I2="Kẹt"</formula>
    </cfRule>
  </conditionalFormatting>
  <conditionalFormatting sqref="J2:J100">
    <cfRule type="expression" priority="4" dxfId="4">
      <formula>$J2="TRỄ"</formula>
    </cfRule>
    <cfRule type="expression" priority="5" dxfId="5">
      <formula>$J2="Sắp hạn"</formula>
    </cfRule>
  </conditionalFormatting>
  <conditionalFormatting sqref="I2:I100">
    <cfRule type="expression" priority="6" dxfId="6">
      <formula>$I2="Đang làm"</formula>
    </cfRule>
    <cfRule type="expression" priority="7" dxfId="7">
      <formula>$I2="Chờ duyệt"</formula>
    </cfRule>
  </conditionalFormatting>
  <dataValidations count="3">
    <dataValidation sqref="B2:B100" showDropDown="0" showInputMessage="0" showErrorMessage="0" allowBlank="1" errorTitle="Giá trị không hợp lệ" error="Chọn giá trị trong danh sách" type="list">
      <formula1>"PM,P0,P1,P2,P3,P4,P5,P6,P7,P8,P9"</formula1>
    </dataValidation>
    <dataValidation sqref="D2:D100" showDropDown="0" showInputMessage="0" showErrorMessage="0" allowBlank="1" errorTitle="Giá trị không hợp lệ" error="Chọn giá trị trong danh sách" type="list">
      <formula1>"Quân,Thắng,Trung"</formula1>
    </dataValidation>
    <dataValidation sqref="I2:I100" showDropDown="0" showInputMessage="0" showErrorMessage="0" allowBlank="1" errorTitle="Giá trị không hợp lệ" error="Chọn giá trị trong danh sách" type="list">
      <formula1>"Cần làm,Đang làm,Chờ duyệt,Kẹt,Xong,Huỷ"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0" customWidth="1" min="4" max="4"/>
    <col width="30" customWidth="1" min="5" max="5"/>
    <col width="60" customWidth="1" min="6" max="6"/>
    <col width="26" customWidth="1" min="7" max="7"/>
  </cols>
  <sheetData>
    <row r="1" ht="30" customHeight="1">
      <c r="A1" s="6" t="inlineStr">
        <is>
          <t>Người</t>
        </is>
      </c>
      <c r="B1" s="6" t="inlineStr">
        <is>
          <t>Vai chính</t>
        </is>
      </c>
      <c r="C1" s="6" t="inlineStr">
        <is>
          <t>Vai phụ</t>
        </is>
      </c>
      <c r="D1" s="6" t="inlineStr">
        <is>
          <t>Phụ trách chính (pha)</t>
        </is>
      </c>
      <c r="E1" s="6" t="inlineStr">
        <is>
          <t>Hỗ trợ (pha)</t>
        </is>
      </c>
      <c r="F1" s="6" t="inlineStr">
        <is>
          <t>Trách nhiệm cụ thể</t>
        </is>
      </c>
      <c r="G1" s="6" t="inlineStr">
        <is>
          <t>Liên hệ (SĐT / email)</t>
        </is>
      </c>
    </row>
    <row r="2">
      <c r="A2" s="16" t="inlineStr">
        <is>
          <t>Quân</t>
        </is>
      </c>
      <c r="B2" s="8" t="inlineStr">
        <is>
          <t>Quản lý dự án (PM) · ML: bộ sinh công thức</t>
        </is>
      </c>
      <c r="C2" s="8" t="inlineStr">
        <is>
          <t>Liên lạc GVHD · gom báo cáo</t>
        </is>
      </c>
      <c r="D2" s="8" t="inlineStr">
        <is>
          <t>P0, P4, P6 (baseline API) · chủ trì 3 mốc GO/NO-GO</t>
        </is>
      </c>
      <c r="E2" s="8" t="inlineStr">
        <is>
          <t>P3, P5, P8</t>
        </is>
      </c>
      <c r="F2" s="8" t="inlineStr">
        <is>
          <t>Kế hoạch &amp; tiến độ, họp tuần, liên lạc thầy; benchmark, validator, GCD, sinh công thức, baseline API; gom Chương 3 và bản nộp</t>
        </is>
      </c>
      <c r="G2" s="17" t="inlineStr"/>
    </row>
    <row r="3">
      <c r="A3" s="16" t="inlineStr">
        <is>
          <t>Thắng</t>
        </is>
      </c>
      <c r="B3" s="8" t="inlineStr">
        <is>
          <t>Data</t>
        </is>
      </c>
      <c r="C3" s="8" t="inlineStr">
        <is>
          <t>ML: RAG · Dev: demo · chủ trì Chương 1–2</t>
        </is>
      </c>
      <c r="D3" s="8" t="inlineStr">
        <is>
          <t>P1, P3, P6 (ablation, demo)</t>
        </is>
      </c>
      <c r="E3" s="8" t="inlineStr">
        <is>
          <t>P0 (duyệt tờ trình), P4 (chủ trì HITL), P8</t>
        </is>
      </c>
      <c r="F3" s="8" t="inlineStr">
        <is>
          <t>Crawl BCTC quý, ngày công bố, giá ngày; chunk thuyết minh + PhoBERT + đánh giá truy xuất; demo Streamlit; duyệt công thức; format báo cáo</t>
        </is>
      </c>
      <c r="G3" s="17" t="inlineStr"/>
    </row>
    <row r="4">
      <c r="A4" s="16" t="inlineStr">
        <is>
          <t>Trung</t>
        </is>
      </c>
      <c r="B4" s="8" t="inlineStr">
        <is>
          <t>Quant</t>
        </is>
      </c>
      <c r="C4" s="8" t="inlineStr">
        <is>
          <t>Chủ trì Chương 4–5</t>
        </is>
      </c>
      <c r="D4" s="8" t="inlineStr">
        <is>
          <t>P2, P5, P7</t>
        </is>
      </c>
      <c r="E4" s="8" t="inlineStr">
        <is>
          <t>P0 (chấm C4), P1 (định dạng giá), P4 (HITL), P8</t>
        </is>
      </c>
      <c r="F4" s="8" t="inlineStr">
        <is>
          <t>Backtest, mô hình chi phí VN, baseline thủ công, bộ tính công thức → số; point-in-time, LightGBM/MLP, Bảng 1/2/3; kiểm định thống kê</t>
        </is>
      </c>
      <c r="G4" s="17" t="inlineStr"/>
    </row>
    <row r="6">
      <c r="A6" s="4" t="inlineStr">
        <is>
          <t>Ô vàng: mỗi người tự điền liên hệ. Phân công này là ĐỀ XUẤT — chốt ở họp khởi động 27/09 (Q12).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 ht="30" customHeight="1">
      <c r="A1" s="6" t="inlineStr">
        <is>
          <t>Pha</t>
        </is>
      </c>
      <c r="B1" s="6" t="inlineStr">
        <is>
          <t>Nội dung</t>
        </is>
      </c>
      <c r="C1" s="6" t="inlineStr">
        <is>
          <t>Hạn</t>
        </is>
      </c>
      <c r="D1" s="6" t="inlineStr">
        <is>
          <t>Quân</t>
        </is>
      </c>
      <c r="E1" s="6" t="inlineStr">
        <is>
          <t>Thắng</t>
        </is>
      </c>
      <c r="F1" s="6" t="inlineStr">
        <is>
          <t>Trung</t>
        </is>
      </c>
      <c r="G1" s="6" t="inlineStr">
        <is>
          <t>Ghi chú</t>
        </is>
      </c>
    </row>
    <row r="2">
      <c r="A2" s="13" t="inlineStr">
        <is>
          <t>P0</t>
        </is>
      </c>
      <c r="B2" s="13" t="inlineStr">
        <is>
          <t>Chốt mô hình</t>
        </is>
      </c>
      <c r="C2" s="8" t="inlineStr">
        <is>
          <t>03/10</t>
        </is>
      </c>
      <c r="D2" s="18" t="inlineStr">
        <is>
          <t>Chính</t>
        </is>
      </c>
      <c r="E2" s="18" t="inlineStr">
        <is>
          <t>Hỗ trợ</t>
        </is>
      </c>
      <c r="F2" s="18" t="inlineStr">
        <is>
          <t>Hỗ trợ</t>
        </is>
      </c>
      <c r="G2" s="8" t="inlineStr">
        <is>
          <t>Thắng duyệt tờ trình; Trung chấm C4, ghi biên bản họp thầy</t>
        </is>
      </c>
    </row>
    <row r="3">
      <c r="A3" s="13" t="inlineStr">
        <is>
          <t>P1</t>
        </is>
      </c>
      <c r="B3" s="13" t="inlineStr">
        <is>
          <t>Dữ liệu</t>
        </is>
      </c>
      <c r="C3" s="8" t="inlineStr">
        <is>
          <t>12/10 · CHỐT 1: 13/10</t>
        </is>
      </c>
      <c r="D3" s="18" t="inlineStr">
        <is>
          <t>Duyệt</t>
        </is>
      </c>
      <c r="E3" s="18" t="inlineStr">
        <is>
          <t>Chính</t>
        </is>
      </c>
      <c r="F3" s="18" t="inlineStr">
        <is>
          <t>Hỗ trợ</t>
        </is>
      </c>
      <c r="G3" s="8" t="inlineStr">
        <is>
          <t>Trung quy định định dạng giá cho backtest</t>
        </is>
      </c>
    </row>
    <row r="4">
      <c r="A4" s="13" t="inlineStr">
        <is>
          <t>P2</t>
        </is>
      </c>
      <c r="B4" s="13" t="inlineStr">
        <is>
          <t>Hạ tầng đánh giá</t>
        </is>
      </c>
      <c r="C4" s="8" t="inlineStr">
        <is>
          <t>19/10</t>
        </is>
      </c>
      <c r="D4" s="18" t="inlineStr">
        <is>
          <t>Hỗ trợ</t>
        </is>
      </c>
      <c r="E4" s="18" t="inlineStr">
        <is>
          <t>Hỗ trợ</t>
        </is>
      </c>
      <c r="F4" s="18" t="inlineStr">
        <is>
          <t>Chính</t>
        </is>
      </c>
      <c r="G4" s="8" t="inlineStr">
        <is>
          <t>Quân: parser DSL dùng chung; Thắng: dữ liệu giá</t>
        </is>
      </c>
    </row>
    <row r="5">
      <c r="A5" s="13" t="inlineStr">
        <is>
          <t>P3</t>
        </is>
      </c>
      <c r="B5" s="13" t="inlineStr">
        <is>
          <t>Encoder + RAG</t>
        </is>
      </c>
      <c r="C5" s="8" t="inlineStr">
        <is>
          <t>26/10</t>
        </is>
      </c>
      <c r="D5" s="18" t="inlineStr">
        <is>
          <t>Duyệt</t>
        </is>
      </c>
      <c r="E5" s="18" t="inlineStr">
        <is>
          <t>Chính</t>
        </is>
      </c>
      <c r="F5" s="18" t="inlineStr">
        <is>
          <t>—</t>
        </is>
      </c>
      <c r="G5" s="8" t="inlineStr"/>
    </row>
    <row r="6">
      <c r="A6" s="13" t="inlineStr">
        <is>
          <t>P4</t>
        </is>
      </c>
      <c r="B6" s="13" t="inlineStr">
        <is>
          <t>Sinh công thức</t>
        </is>
      </c>
      <c r="C6" s="8" t="inlineStr">
        <is>
          <t>02/11 · CHỐT 2: 03/11</t>
        </is>
      </c>
      <c r="D6" s="18" t="inlineStr">
        <is>
          <t>Chính</t>
        </is>
      </c>
      <c r="E6" s="18" t="inlineStr">
        <is>
          <t>Hỗ trợ</t>
        </is>
      </c>
      <c r="F6" s="18" t="inlineStr">
        <is>
          <t>Hỗ trợ</t>
        </is>
      </c>
      <c r="G6" s="8" t="inlineStr">
        <is>
          <t>Thắng chủ trì duyệt HITL — người sinh công thức không tự duyệt</t>
        </is>
      </c>
    </row>
    <row r="7">
      <c r="A7" s="13" t="inlineStr">
        <is>
          <t>P5</t>
        </is>
      </c>
      <c r="B7" s="13" t="inlineStr">
        <is>
          <t>Mô hình nhân tố</t>
        </is>
      </c>
      <c r="C7" s="8" t="inlineStr">
        <is>
          <t>16/11</t>
        </is>
      </c>
      <c r="D7" s="18" t="inlineStr">
        <is>
          <t>Duyệt</t>
        </is>
      </c>
      <c r="E7" s="18" t="inlineStr">
        <is>
          <t>—</t>
        </is>
      </c>
      <c r="F7" s="18" t="inlineStr">
        <is>
          <t>Chính</t>
        </is>
      </c>
      <c r="G7" s="8" t="inlineStr"/>
    </row>
    <row r="8">
      <c r="A8" s="13" t="inlineStr">
        <is>
          <t>P6</t>
        </is>
      </c>
      <c r="B8" s="13" t="inlineStr">
        <is>
          <t>Đối chứng + demo</t>
        </is>
      </c>
      <c r="C8" s="8" t="inlineStr">
        <is>
          <t>23/11</t>
        </is>
      </c>
      <c r="D8" s="18" t="inlineStr">
        <is>
          <t>Chính</t>
        </is>
      </c>
      <c r="E8" s="18" t="inlineStr">
        <is>
          <t>Chính</t>
        </is>
      </c>
      <c r="F8" s="18" t="inlineStr">
        <is>
          <t>—</t>
        </is>
      </c>
      <c r="G8" s="8" t="inlineStr">
        <is>
          <t>Quân: baseline API · Thắng: ablation, demo</t>
        </is>
      </c>
    </row>
    <row r="9">
      <c r="A9" s="13" t="inlineStr">
        <is>
          <t>P7</t>
        </is>
      </c>
      <c r="B9" s="13" t="inlineStr">
        <is>
          <t>Kiểm định</t>
        </is>
      </c>
      <c r="C9" s="8" t="inlineStr">
        <is>
          <t>30/11</t>
        </is>
      </c>
      <c r="D9" s="18" t="inlineStr">
        <is>
          <t>Duyệt</t>
        </is>
      </c>
      <c r="E9" s="18" t="inlineStr">
        <is>
          <t>—</t>
        </is>
      </c>
      <c r="F9" s="18" t="inlineStr">
        <is>
          <t>Chính</t>
        </is>
      </c>
      <c r="G9" s="8" t="inlineStr"/>
    </row>
    <row r="10">
      <c r="A10" s="13" t="inlineStr">
        <is>
          <t>P8</t>
        </is>
      </c>
      <c r="B10" s="13" t="inlineStr">
        <is>
          <t>Báo cáo</t>
        </is>
      </c>
      <c r="C10" s="8" t="inlineStr">
        <is>
          <t>14/12</t>
        </is>
      </c>
      <c r="D10" s="18" t="inlineStr">
        <is>
          <t>Chính</t>
        </is>
      </c>
      <c r="E10" s="18" t="inlineStr">
        <is>
          <t>Hỗ trợ</t>
        </is>
      </c>
      <c r="F10" s="18" t="inlineStr">
        <is>
          <t>Hỗ trợ</t>
        </is>
      </c>
      <c r="G10" s="8" t="inlineStr">
        <is>
          <t>Quân: Ch.3 + gom · Thắng: Ch.1–2, format · Trung: Ch.4–5</t>
        </is>
      </c>
    </row>
    <row r="11">
      <c r="A11" s="13" t="inlineStr">
        <is>
          <t>P9</t>
        </is>
      </c>
      <c r="B11" s="13" t="inlineStr">
        <is>
          <t>Bảo vệ</t>
        </is>
      </c>
      <c r="C11" s="8" t="inlineStr">
        <is>
          <t>sau 14/12</t>
        </is>
      </c>
      <c r="D11" s="18" t="inlineStr">
        <is>
          <t>Chính</t>
        </is>
      </c>
      <c r="E11" s="18" t="inlineStr">
        <is>
          <t>Hỗ trợ</t>
        </is>
      </c>
      <c r="F11" s="18" t="inlineStr">
        <is>
          <t>Hỗ trợ</t>
        </is>
      </c>
      <c r="G11" s="8" t="inlineStr"/>
    </row>
    <row r="13">
      <c r="A13" s="4" t="inlineStr">
        <is>
          <t>Chính = chịu trách nhiệm kết quả của pha · Hỗ trợ = làm một phần theo yêu cầu người Chính · Duyệt = xem và đồng ý đầu ra trước khi đóng pha</t>
        </is>
      </c>
    </row>
  </sheetData>
  <conditionalFormatting sqref="D2:F11">
    <cfRule type="expression" priority="1" dxfId="8">
      <formula>D2="Chính"</formula>
    </cfRule>
    <cfRule type="expression" priority="2" dxfId="9">
      <formula>D2="Hỗ trợ"</formula>
    </cfRule>
    <cfRule type="expression" priority="3" dxfId="10">
      <formula>D2="Duyệt"</formula>
    </cfRule>
  </conditionalFormatting>
  <dataValidations count="1">
    <dataValidation sqref="D2:F11" showDropDown="0" showInputMessage="0" showErrorMessage="0" allowBlank="1" errorTitle="Giá trị không hợp lệ" error="Chọn giá trị trong danh sách" type="list">
      <formula1>"Chính,Hỗ trợ,Duyệt,—"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10" customWidth="1" min="5" max="5"/>
    <col width="8" customWidth="1" min="6" max="6"/>
    <col width="36" customWidth="1" min="7" max="7"/>
    <col width="40" customWidth="1" min="8" max="8"/>
    <col width="40" customWidth="1" min="9" max="9"/>
    <col width="11" customWidth="1" min="10" max="10"/>
    <col width="13" customWidth="1" min="11" max="11"/>
    <col width="11" customWidth="1" min="12" max="12"/>
  </cols>
  <sheetData>
    <row r="1" ht="30" customHeight="1">
      <c r="A1" s="6" t="inlineStr">
        <is>
          <t>ID</t>
        </is>
      </c>
      <c r="B1" s="6" t="inlineStr">
        <is>
          <t>Rủi ro</t>
        </is>
      </c>
      <c r="C1" s="6" t="inlineStr">
        <is>
          <t>Nhóm</t>
        </is>
      </c>
      <c r="D1" s="6" t="inlineStr">
        <is>
          <t>Khả năng (1–3)</t>
        </is>
      </c>
      <c r="E1" s="6" t="inlineStr">
        <is>
          <t>Ảnh hưởng (1–3)</t>
        </is>
      </c>
      <c r="F1" s="7" t="inlineStr">
        <is>
          <t>Điểm</t>
        </is>
      </c>
      <c r="G1" s="6" t="inlineStr">
        <is>
          <t>Dấu hiệu sớm</t>
        </is>
      </c>
      <c r="H1" s="6" t="inlineStr">
        <is>
          <t>Cách phòng</t>
        </is>
      </c>
      <c r="I1" s="6" t="inlineStr">
        <is>
          <t>Nếu xảy ra thì</t>
        </is>
      </c>
      <c r="J1" s="6" t="inlineStr">
        <is>
          <t>Người theo dõi</t>
        </is>
      </c>
      <c r="K1" s="6" t="inlineStr">
        <is>
          <t>Trạng thái</t>
        </is>
      </c>
      <c r="L1" s="6" t="inlineStr">
        <is>
          <t>Cập nhật</t>
        </is>
      </c>
    </row>
    <row r="2">
      <c r="A2" s="13" t="inlineStr">
        <is>
          <t>R01</t>
        </is>
      </c>
      <c r="B2" s="8" t="inlineStr">
        <is>
          <t>Không tìm được nguồn ngày công bố BCTC thực tế đủ phủ</t>
        </is>
      </c>
      <c r="C2" s="13" t="inlineStr">
        <is>
          <t>Dữ liệu</t>
        </is>
      </c>
      <c r="D2" s="18" t="n">
        <v>3</v>
      </c>
      <c r="E2" s="18" t="n">
        <v>3</v>
      </c>
      <c r="F2" s="19">
        <f>IF(OR(D2="",E2=""),"",D2*E2)</f>
        <v/>
      </c>
      <c r="G2" s="8" t="inlineStr">
        <is>
          <t>Đến 30/09 (V14) chưa nguồn nào phủ &gt;50% mã × năm</t>
        </is>
      </c>
      <c r="H2" s="8" t="inlineStr">
        <is>
          <t>Dò nguồn ngay tuần này, thử nhiều nguồn song song, hỏi thầy 01/10</t>
        </is>
      </c>
      <c r="I2" s="8" t="inlineStr">
        <is>
          <t>Bỏ Bảng 2, chuyển H3 thành mục hạn chế, báo thầy trong ngày (CHỐT 1)</t>
        </is>
      </c>
      <c r="J2" s="13" t="inlineStr">
        <is>
          <t>Thắng</t>
        </is>
      </c>
      <c r="K2" s="13" t="inlineStr">
        <is>
          <t>Mở</t>
        </is>
      </c>
      <c r="L2" s="9" t="n">
        <v>46291</v>
      </c>
    </row>
    <row r="3">
      <c r="A3" s="13" t="inlineStr">
        <is>
          <t>R02</t>
        </is>
      </c>
      <c r="B3" s="8" t="inlineStr">
        <is>
          <t>Không có thuyết minh BCTC quý (API chỉ trả bảng số)</t>
        </is>
      </c>
      <c r="C3" s="13" t="inlineStr">
        <is>
          <t>Dữ liệu</t>
        </is>
      </c>
      <c r="D3" s="18" t="n">
        <v>3</v>
      </c>
      <c r="E3" s="18" t="n">
        <v>2</v>
      </c>
      <c r="F3" s="19">
        <f>IF(OR(D3="",E3=""),"",D3*E3)</f>
        <v/>
      </c>
      <c r="G3" s="8" t="inlineStr">
        <is>
          <t>Thầy không có hướng khác ở buổi 01/10</t>
        </is>
      </c>
      <c r="H3" s="8" t="inlineStr">
        <is>
          <t>Đề xuất với thầy dùng thuyết minh năm</t>
        </is>
      </c>
      <c r="I3" s="8" t="inlineStr">
        <is>
          <t>Dùng thuyết minh năm, áp cho 4 quý sau ngày công bố</t>
        </is>
      </c>
      <c r="J3" s="13" t="inlineStr">
        <is>
          <t>Thắng</t>
        </is>
      </c>
      <c r="K3" s="13" t="inlineStr">
        <is>
          <t>Mở</t>
        </is>
      </c>
      <c r="L3" s="9" t="n">
        <v>46291</v>
      </c>
    </row>
    <row r="4">
      <c r="A4" s="13" t="inlineStr">
        <is>
          <t>R03</t>
        </is>
      </c>
      <c r="B4" s="8" t="inlineStr">
        <is>
          <t>Tỷ lệ công thức hợp lệ &lt; 60% ở CHỐT 2 (hiện tốt nhất 47,2%)</t>
        </is>
      </c>
      <c r="C4" s="13" t="inlineStr">
        <is>
          <t>Mô hình</t>
        </is>
      </c>
      <c r="D4" s="18" t="n">
        <v>2</v>
      </c>
      <c r="E4" s="18" t="n">
        <v>3</v>
      </c>
      <c r="F4" s="19">
        <f>IF(OR(D4="",E4=""),"",D4*E4)</f>
        <v/>
      </c>
      <c r="G4" s="8" t="inlineStr">
        <is>
          <t>GCD (V25) không đưa được tỷ lệ lên ≥55% trước 17/10</t>
        </is>
      </c>
      <c r="H4" s="8" t="inlineStr">
        <is>
          <t>Thử GCD sớm, trước P4</t>
        </is>
      </c>
      <c r="I4" s="8" t="inlineStr">
        <is>
          <t>Few-shot + ràng buộc grammar, KHÔNG đổi mô hình lần nữa</t>
        </is>
      </c>
      <c r="J4" s="13" t="inlineStr">
        <is>
          <t>Quân</t>
        </is>
      </c>
      <c r="K4" s="13" t="inlineStr">
        <is>
          <t>Mở</t>
        </is>
      </c>
      <c r="L4" s="9" t="n">
        <v>46291</v>
      </c>
    </row>
    <row r="5">
      <c r="A5" s="13" t="inlineStr">
        <is>
          <t>R04</t>
        </is>
      </c>
      <c r="B5" s="8" t="inlineStr">
        <is>
          <t>Thiếu biến để tính nhân tố (parser OCR chỉ đọc trung vị 30/65 biến)</t>
        </is>
      </c>
      <c r="C5" s="13" t="inlineStr">
        <is>
          <t>Dữ liệu</t>
        </is>
      </c>
      <c r="D5" s="18" t="n">
        <v>2</v>
      </c>
      <c r="E5" s="18" t="n">
        <v>3</v>
      </c>
      <c r="F5" s="19">
        <f>IF(OR(D5="",E5=""),"",D5*E5)</f>
        <v/>
      </c>
      <c r="G5" s="8" t="inlineStr">
        <is>
          <t>Sau khi map API, &lt;80% biến trong variables.yaml có số</t>
        </is>
      </c>
      <c r="H5" s="8" t="inlineStr">
        <is>
          <t>Lấy số liệu quý từ API, map variables.yaml sang tên trường API</t>
        </is>
      </c>
      <c r="I5" s="8" t="inlineStr">
        <is>
          <t>Thu hẹp danh mục biến, ghi rõ trong phần hạn chế</t>
        </is>
      </c>
      <c r="J5" s="13" t="inlineStr">
        <is>
          <t>Thắng</t>
        </is>
      </c>
      <c r="K5" s="13" t="inlineStr">
        <is>
          <t>Mở</t>
        </is>
      </c>
      <c r="L5" s="9" t="n">
        <v>46291</v>
      </c>
    </row>
    <row r="6">
      <c r="A6" s="13" t="inlineStr">
        <is>
          <t>R05</t>
        </is>
      </c>
      <c r="B6" s="8" t="inlineStr">
        <is>
          <t>Ít điểm thời gian (~40 quý) → kết quả không có ý nghĩa thống kê</t>
        </is>
      </c>
      <c r="C6" s="13" t="inlineStr">
        <is>
          <t>Phương pháp</t>
        </is>
      </c>
      <c r="D6" s="18" t="n">
        <v>2</v>
      </c>
      <c r="E6" s="18" t="n">
        <v>3</v>
      </c>
      <c r="F6" s="19">
        <f>IF(OR(D6="",E6=""),"",D6*E6)</f>
        <v/>
      </c>
      <c r="G6" s="8" t="inlineStr">
        <is>
          <t>t-stat của IC &lt; 2 ở hầu hết cấu hình</t>
        </is>
      </c>
      <c r="H6" s="8" t="inlineStr">
        <is>
          <t>Bổ sung giá tần suất ngày (Wei et al. 2022), kiểm định kỹ ở P7</t>
        </is>
      </c>
      <c r="I6" s="8" t="inlineStr">
        <is>
          <t>Báo cáo trung thực, nhấn mạnh đóng góp của Bảng 2 và Bảng 3</t>
        </is>
      </c>
      <c r="J6" s="13" t="inlineStr">
        <is>
          <t>Trung</t>
        </is>
      </c>
      <c r="K6" s="13" t="inlineStr">
        <is>
          <t>Mở</t>
        </is>
      </c>
      <c r="L6" s="9" t="n">
        <v>46291</v>
      </c>
    </row>
    <row r="7">
      <c r="A7" s="13" t="inlineStr">
        <is>
          <t>R06</t>
        </is>
      </c>
      <c r="B7" s="8" t="inlineStr">
        <is>
          <t>Rò rỉ dữ liệu tương lai (point-in-time, mốc huấn luyện LLM) bị hội đồng bắt lỗi</t>
        </is>
      </c>
      <c r="C7" s="13" t="inlineStr">
        <is>
          <t>Phương pháp</t>
        </is>
      </c>
      <c r="D7" s="18" t="n">
        <v>2</v>
      </c>
      <c r="E7" s="18" t="n">
        <v>3</v>
      </c>
      <c r="F7" s="19">
        <f>IF(OR(D7="",E7=""),"",D7*E7)</f>
        <v/>
      </c>
      <c r="G7" s="8" t="inlineStr">
        <is>
          <t>Code gán thời gian chưa ai review chéo</t>
        </is>
      </c>
      <c r="H7" s="8" t="inlineStr">
        <is>
          <t>Theo kỷ luật README mục 6; người khác review code gán thời gian</t>
        </is>
      </c>
      <c r="I7" s="8" t="inlineStr">
        <is>
          <t>Sửa và chạy lại trước 30/11; sau đóng băng thì ghi vào hạn chế</t>
        </is>
      </c>
      <c r="J7" s="13" t="inlineStr">
        <is>
          <t>Trung</t>
        </is>
      </c>
      <c r="K7" s="13" t="inlineStr">
        <is>
          <t>Mở</t>
        </is>
      </c>
      <c r="L7" s="9" t="n">
        <v>46291</v>
      </c>
    </row>
    <row r="8">
      <c r="A8" s="13" t="inlineStr">
        <is>
          <t>R07</t>
        </is>
      </c>
      <c r="B8" s="8" t="inlineStr">
        <is>
          <t>Quá tải 1 người: Quân vừa quản lý vừa làm ML chính (hiện mọi commit là của Quân)</t>
        </is>
      </c>
      <c r="C8" s="13" t="inlineStr">
        <is>
          <t>Nhân sự</t>
        </is>
      </c>
      <c r="D8" s="18" t="n">
        <v>3</v>
      </c>
      <c r="E8" s="18" t="n">
        <v>2</v>
      </c>
      <c r="F8" s="19">
        <f>IF(OR(D8="",E8=""),"",D8*E8)</f>
        <v/>
      </c>
      <c r="G8" s="8" t="inlineStr">
        <is>
          <t>Việc của Quân trễ 2 tuần liên tiếp; Thắng/Trung chưa có commit</t>
        </is>
      </c>
      <c r="H8" s="8" t="inlineStr">
        <is>
          <t>Giao việc theo tên, soi bảng Tổng quan mỗi buổi họp tuần</t>
        </is>
      </c>
      <c r="I8" s="8" t="inlineStr">
        <is>
          <t>Chuyển bớt việc P6/P8 của Quân sang người đang ít việc</t>
        </is>
      </c>
      <c r="J8" s="13" t="inlineStr">
        <is>
          <t>Quân</t>
        </is>
      </c>
      <c r="K8" s="13" t="inlineStr">
        <is>
          <t>Mở</t>
        </is>
      </c>
      <c r="L8" s="9" t="n">
        <v>46291</v>
      </c>
    </row>
    <row r="9">
      <c r="A9" s="13" t="inlineStr">
        <is>
          <t>R08</t>
        </is>
      </c>
      <c r="B9" s="8" t="inlineStr">
        <is>
          <t>Dồn việc viết báo cáo về cuối, không đủ 10 ngày cho thầy sửa</t>
        </is>
      </c>
      <c r="C9" s="13" t="inlineStr">
        <is>
          <t>Tiến độ</t>
        </is>
      </c>
      <c r="D9" s="18" t="n">
        <v>2</v>
      </c>
      <c r="E9" s="18" t="n">
        <v>3</v>
      </c>
      <c r="F9" s="19">
        <f>IF(OR(D9="",E9=""),"",D9*E9)</f>
        <v/>
      </c>
      <c r="G9" s="8" t="inlineStr">
        <is>
          <t>Đến 09/11 chưa có nháp Chương 1–2</t>
        </is>
      </c>
      <c r="H9" s="8" t="inlineStr">
        <is>
          <t>Viết Chương 1–2 từ 20/10, song song với chạy mô hình</t>
        </is>
      </c>
      <c r="I9" s="8" t="inlineStr">
        <is>
          <t>Cắt độ dài Chương 2, ưu tiên Chương 3–4</t>
        </is>
      </c>
      <c r="J9" s="13" t="inlineStr">
        <is>
          <t>Quân</t>
        </is>
      </c>
      <c r="K9" s="13" t="inlineStr">
        <is>
          <t>Mở</t>
        </is>
      </c>
      <c r="L9" s="9" t="n">
        <v>46291</v>
      </c>
    </row>
    <row r="10">
      <c r="A10" s="13" t="inlineStr">
        <is>
          <t>R09</t>
        </is>
      </c>
      <c r="B10" s="8" t="inlineStr">
        <is>
          <t>Thầy không chấp nhận bộ sinh 5,1B tổng (Gemma) vì muốn "vài trăm triệu"</t>
        </is>
      </c>
      <c r="C10" s="13" t="inlineStr">
        <is>
          <t>Phạm vi</t>
        </is>
      </c>
      <c r="D10" s="18" t="n">
        <v>2</v>
      </c>
      <c r="E10" s="18" t="n">
        <v>2</v>
      </c>
      <c r="F10" s="19">
        <f>IF(OR(D10="",E10=""),"",D10*E10)</f>
        <v/>
      </c>
      <c r="G10" s="8" t="inlineStr">
        <is>
          <t>Buổi 01/10 thầy nghiêng về mô hình &lt;1B</t>
        </is>
      </c>
      <c r="H10" s="8" t="inlineStr">
        <is>
          <t>Tờ trình dẫn số VRAM và kết quả Qwen3.5-0.8B chỉ 16% hợp lệ</t>
        </is>
      </c>
      <c r="I10" s="8" t="inlineStr">
        <is>
          <t>Chuyển sang Qwen3.5-2B (dự phòng đã có số)</t>
        </is>
      </c>
      <c r="J10" s="13" t="inlineStr">
        <is>
          <t>Quân</t>
        </is>
      </c>
      <c r="K10" s="13" t="inlineStr">
        <is>
          <t>Mở</t>
        </is>
      </c>
      <c r="L10" s="9" t="n">
        <v>46291</v>
      </c>
    </row>
    <row r="11">
      <c r="A11" s="13" t="inlineStr">
        <is>
          <t>R10</t>
        </is>
      </c>
      <c r="B11" s="8" t="inlineStr">
        <is>
          <t>Phạm vi phình ra sau khi khoá đề cương (thêm giả thuyết, thêm mô hình…)</t>
        </is>
      </c>
      <c r="C11" s="13" t="inlineStr">
        <is>
          <t>Phạm vi</t>
        </is>
      </c>
      <c r="D11" s="18" t="n">
        <v>2</v>
      </c>
      <c r="E11" s="18" t="n">
        <v>2</v>
      </c>
      <c r="F11" s="19">
        <f>IF(OR(D11="",E11=""),"",D11*E11)</f>
        <v/>
      </c>
      <c r="G11" s="8" t="inlineStr">
        <is>
          <t>Có việc mới không nằm trong tab Việc</t>
        </is>
      </c>
      <c r="H11" s="8" t="inlineStr">
        <is>
          <t>Sau 03/10, ý mới ghi vào mục "để sau", chỉ đổi khi thầy yêu cầu</t>
        </is>
      </c>
      <c r="I11" s="8" t="inlineStr">
        <is>
          <t>Đổi phạm vi = ghi vào tab Quyết định, bỏ bớt 1 việc tương đương</t>
        </is>
      </c>
      <c r="J11" s="13" t="inlineStr">
        <is>
          <t>Quân</t>
        </is>
      </c>
      <c r="K11" s="13" t="inlineStr">
        <is>
          <t>Mở</t>
        </is>
      </c>
      <c r="L11" s="9" t="n">
        <v>46291</v>
      </c>
    </row>
    <row r="12">
      <c r="A12" s="13" t="inlineStr">
        <is>
          <t>R11</t>
        </is>
      </c>
      <c r="B12" s="8" t="inlineStr">
        <is>
          <t>Thiếu GPU: hết quota Kaggle/Colab, máy nhà chỉ có GTX 1660 Ti 6GB</t>
        </is>
      </c>
      <c r="C12" s="13" t="inlineStr">
        <is>
          <t>Hạ tầng</t>
        </is>
      </c>
      <c r="D12" s="18" t="n">
        <v>2</v>
      </c>
      <c r="E12" s="18" t="n">
        <v>2</v>
      </c>
      <c r="F12" s="19">
        <f>IF(OR(D12="",E12=""),"",D12*E12)</f>
        <v/>
      </c>
      <c r="G12" s="8" t="inlineStr">
        <is>
          <t>Còn &lt;10 giờ quota trong tuần có đợt chạy lớn</t>
        </is>
      </c>
      <c r="H12" s="8" t="inlineStr">
        <is>
          <t>Lên lịch các đợt chạy lớn trước, lưu checkpoint, dùng nhiều tài khoản trong nhóm</t>
        </is>
      </c>
      <c r="I12" s="8" t="inlineStr">
        <is>
          <t>Giảm số seed/prompt, ghi rõ trong báo cáo</t>
        </is>
      </c>
      <c r="J12" s="13" t="inlineStr">
        <is>
          <t>Quân</t>
        </is>
      </c>
      <c r="K12" s="13" t="inlineStr">
        <is>
          <t>Mở</t>
        </is>
      </c>
      <c r="L12" s="9" t="n">
        <v>46291</v>
      </c>
    </row>
    <row r="13">
      <c r="A13" s="13" t="inlineStr">
        <is>
          <t>R12</t>
        </is>
      </c>
      <c r="B13" s="8" t="inlineStr">
        <is>
          <t>Demo không chạy trên máy hội đồng</t>
        </is>
      </c>
      <c r="C13" s="13" t="inlineStr">
        <is>
          <t>Demo</t>
        </is>
      </c>
      <c r="D13" s="18" t="n">
        <v>1</v>
      </c>
      <c r="E13" s="18" t="n">
        <v>2</v>
      </c>
      <c r="F13" s="19">
        <f>IF(OR(D13="",E13=""),"",D13*E13)</f>
        <v/>
      </c>
      <c r="G13" s="8" t="inlineStr">
        <is>
          <t>Chưa chạy thử demo trên máy nào khác máy dev</t>
        </is>
      </c>
      <c r="H13" s="8" t="inlineStr">
        <is>
          <t>Chạy thử trên máy của người khác trong nhóm trước 30/11</t>
        </is>
      </c>
      <c r="I13" s="8" t="inlineStr">
        <is>
          <t>Chuẩn bị video quay màn hình dự phòng</t>
        </is>
      </c>
      <c r="J13" s="13" t="inlineStr">
        <is>
          <t>Thắng</t>
        </is>
      </c>
      <c r="K13" s="13" t="inlineStr">
        <is>
          <t>Mở</t>
        </is>
      </c>
      <c r="L13" s="9" t="n">
        <v>46291</v>
      </c>
    </row>
    <row r="14">
      <c r="D14" s="20" t="n"/>
      <c r="E14" s="20" t="n"/>
      <c r="F14" s="19">
        <f>IF(OR(D14="",E14=""),"",D14*E14)</f>
        <v/>
      </c>
      <c r="L14" s="15" t="n"/>
    </row>
    <row r="15">
      <c r="D15" s="20" t="n"/>
      <c r="E15" s="20" t="n"/>
      <c r="F15" s="19">
        <f>IF(OR(D15="",E15=""),"",D15*E15)</f>
        <v/>
      </c>
      <c r="L15" s="15" t="n"/>
    </row>
    <row r="16">
      <c r="D16" s="20" t="n"/>
      <c r="E16" s="20" t="n"/>
      <c r="F16" s="19">
        <f>IF(OR(D16="",E16=""),"",D16*E16)</f>
        <v/>
      </c>
      <c r="L16" s="15" t="n"/>
    </row>
    <row r="17">
      <c r="D17" s="20" t="n"/>
      <c r="E17" s="20" t="n"/>
      <c r="F17" s="19">
        <f>IF(OR(D17="",E17=""),"",D17*E17)</f>
        <v/>
      </c>
      <c r="L17" s="15" t="n"/>
    </row>
    <row r="18">
      <c r="D18" s="20" t="n"/>
      <c r="E18" s="20" t="n"/>
      <c r="F18" s="19">
        <f>IF(OR(D18="",E18=""),"",D18*E18)</f>
        <v/>
      </c>
      <c r="L18" s="15" t="n"/>
    </row>
    <row r="19">
      <c r="D19" s="20" t="n"/>
      <c r="E19" s="20" t="n"/>
      <c r="F19" s="19">
        <f>IF(OR(D19="",E19=""),"",D19*E19)</f>
        <v/>
      </c>
      <c r="L19" s="15" t="n"/>
    </row>
    <row r="20">
      <c r="D20" s="20" t="n"/>
      <c r="E20" s="20" t="n"/>
      <c r="F20" s="19">
        <f>IF(OR(D20="",E20=""),"",D20*E20)</f>
        <v/>
      </c>
      <c r="L20" s="15" t="n"/>
    </row>
    <row r="21">
      <c r="D21" s="20" t="n"/>
      <c r="E21" s="20" t="n"/>
      <c r="F21" s="19">
        <f>IF(OR(D21="",E21=""),"",D21*E21)</f>
        <v/>
      </c>
      <c r="L21" s="15" t="n"/>
    </row>
    <row r="22">
      <c r="D22" s="20" t="n"/>
      <c r="E22" s="20" t="n"/>
      <c r="F22" s="19">
        <f>IF(OR(D22="",E22=""),"",D22*E22)</f>
        <v/>
      </c>
      <c r="L22" s="15" t="n"/>
    </row>
    <row r="23">
      <c r="D23" s="20" t="n"/>
      <c r="E23" s="20" t="n"/>
      <c r="F23" s="19">
        <f>IF(OR(D23="",E23=""),"",D23*E23)</f>
        <v/>
      </c>
      <c r="L23" s="15" t="n"/>
    </row>
    <row r="24">
      <c r="D24" s="20" t="n"/>
      <c r="E24" s="20" t="n"/>
      <c r="F24" s="19">
        <f>IF(OR(D24="",E24=""),"",D24*E24)</f>
        <v/>
      </c>
      <c r="L24" s="15" t="n"/>
    </row>
    <row r="25">
      <c r="D25" s="20" t="n"/>
      <c r="E25" s="20" t="n"/>
      <c r="F25" s="19">
        <f>IF(OR(D25="",E25=""),"",D25*E25)</f>
        <v/>
      </c>
      <c r="L25" s="15" t="n"/>
    </row>
  </sheetData>
  <autoFilter ref="A1:L13"/>
  <conditionalFormatting sqref="F2:F100">
    <cfRule type="expression" priority="1" dxfId="4" stopIfTrue="1">
      <formula>AND(ISNUMBER($F2),$F2&gt;=6)</formula>
    </cfRule>
    <cfRule type="expression" priority="2" dxfId="11" stopIfTrue="1">
      <formula>AND(ISNUMBER($F2),$F2&gt;=3)</formula>
    </cfRule>
    <cfRule type="expression" priority="3" dxfId="12">
      <formula>ISNUMBER($F2)</formula>
    </cfRule>
  </conditionalFormatting>
  <conditionalFormatting sqref="A2:L100">
    <cfRule type="expression" priority="4" dxfId="13">
      <formula>$K2="Đã đóng"</formula>
    </cfRule>
    <cfRule type="expression" priority="5" dxfId="3">
      <formula>$K2="Đang xảy ra"</formula>
    </cfRule>
  </conditionalFormatting>
  <dataValidations count="3">
    <dataValidation sqref="D2:E100" showDropDown="0" showInputMessage="0" showErrorMessage="0" allowBlank="1" errorTitle="Giá trị không hợp lệ" error="Chọn giá trị trong danh sách" type="list">
      <formula1>"1,2,3"</formula1>
    </dataValidation>
    <dataValidation sqref="J2:J100" showDropDown="0" showInputMessage="0" showErrorMessage="0" allowBlank="1" errorTitle="Giá trị không hợp lệ" error="Chọn giá trị trong danh sách" type="list">
      <formula1>"Quân,Thắng,Trung"</formula1>
    </dataValidation>
    <dataValidation sqref="K2:K100" showDropDown="0" showInputMessage="0" showErrorMessage="0" allowBlank="1" errorTitle="Giá trị không hợp lệ" error="Chọn giá trị trong danh sách" type="list">
      <formula1>"Mở,Đang xảy ra,Đã đóng"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2" customWidth="1" min="4" max="4"/>
    <col width="9" customWidth="1" min="5" max="5"/>
    <col width="26" customWidth="1" min="6" max="6"/>
    <col width="12" customWidth="1" min="7" max="7"/>
    <col width="12" customWidth="1" min="8" max="8"/>
    <col width="30" customWidth="1" min="9" max="9"/>
  </cols>
  <sheetData>
    <row r="1" ht="30" customHeight="1">
      <c r="A1" s="6" t="inlineStr">
        <is>
          <t>ID</t>
        </is>
      </c>
      <c r="B1" s="6" t="inlineStr">
        <is>
          <t>Ngày</t>
        </is>
      </c>
      <c r="C1" s="6" t="inlineStr">
        <is>
          <t>Quyết định</t>
        </is>
      </c>
      <c r="D1" s="6" t="inlineStr">
        <is>
          <t>Lý do</t>
        </is>
      </c>
      <c r="E1" s="6" t="inlineStr">
        <is>
          <t>Ai quyết</t>
        </is>
      </c>
      <c r="F1" s="6" t="inlineStr">
        <is>
          <t>Phương án đã bỏ</t>
        </is>
      </c>
      <c r="G1" s="6" t="inlineStr">
        <is>
          <t>Ảnh hưởng tới</t>
        </is>
      </c>
      <c r="H1" s="6" t="inlineStr">
        <is>
          <t>Trạng thái</t>
        </is>
      </c>
      <c r="I1" s="6" t="inlineStr">
        <is>
          <t>Nguồn</t>
        </is>
      </c>
    </row>
    <row r="2">
      <c r="A2" s="13" t="inlineStr">
        <is>
          <t>Q01</t>
        </is>
      </c>
      <c r="B2" s="13" t="inlineStr">
        <is>
          <t>≤ 22/09</t>
        </is>
      </c>
      <c r="C2" s="8" t="inlineStr">
        <is>
          <t>Gộp chốt mô hình + chốt phạm vi vào 1 buổi họp thầy (01/10)</t>
        </is>
      </c>
      <c r="D2" s="8" t="inlineStr">
        <is>
          <t>Tiết kiệm thời gian của thầy, chốt sớm để khoá đề cương 03/10</t>
        </is>
      </c>
      <c r="E2" s="13" t="inlineStr">
        <is>
          <t>Nhóm</t>
        </is>
      </c>
      <c r="F2" s="8" t="inlineStr">
        <is>
          <t>Họp 2 buổi riêng</t>
        </is>
      </c>
      <c r="G2" s="13" t="inlineStr">
        <is>
          <t>P0</t>
        </is>
      </c>
      <c r="H2" s="13" t="inlineStr">
        <is>
          <t>Đã chốt</t>
        </is>
      </c>
      <c r="I2" s="8" t="inlineStr">
        <is>
          <t>Timelines.xlsx #4</t>
        </is>
      </c>
    </row>
    <row r="3">
      <c r="A3" s="13" t="inlineStr">
        <is>
          <t>Q02</t>
        </is>
      </c>
      <c r="B3" s="13" t="inlineStr">
        <is>
          <t>≤ 22/09</t>
        </is>
      </c>
      <c r="C3" s="8" t="inlineStr">
        <is>
          <t>Benchmark chỉ 3–4 mô hình ứng viên</t>
        </is>
      </c>
      <c r="D3" s="8" t="inlineStr">
        <is>
          <t>Tránh dàn trải, kịp hạn P0</t>
        </is>
      </c>
      <c r="E3" s="13" t="inlineStr">
        <is>
          <t>Nhóm</t>
        </is>
      </c>
      <c r="F3" s="8" t="inlineStr">
        <is>
          <t>Benchmark 8 mô hình</t>
        </is>
      </c>
      <c r="G3" s="13" t="inlineStr">
        <is>
          <t>P0</t>
        </is>
      </c>
      <c r="H3" s="13" t="inlineStr">
        <is>
          <t>Đã chốt</t>
        </is>
      </c>
      <c r="I3" s="8" t="inlineStr">
        <is>
          <t>docs/P0_breakdown.md 2.1</t>
        </is>
      </c>
    </row>
    <row r="4">
      <c r="A4" s="13" t="inlineStr">
        <is>
          <t>Q03</t>
        </is>
      </c>
      <c r="B4" s="13" t="inlineStr">
        <is>
          <t>≤ 22/09</t>
        </is>
      </c>
      <c r="C4" s="8" t="inlineStr">
        <is>
          <t>Công thức chỉ viết theo DSL, cấm "/", mọi phép chia dùng safe_div</t>
        </is>
      </c>
      <c r="D4" s="8" t="inlineStr">
        <is>
          <t>Máy kiểm tra được tự động, không chia cho 0</t>
        </is>
      </c>
      <c r="E4" s="13" t="inlineStr">
        <is>
          <t>Nhóm</t>
        </is>
      </c>
      <c r="F4" s="8" t="inlineStr">
        <is>
          <t>Cho AI viết tự do</t>
        </is>
      </c>
      <c r="G4" s="13" t="inlineStr">
        <is>
          <t>P0, P4</t>
        </is>
      </c>
      <c r="H4" s="13" t="inlineStr">
        <is>
          <t>Đã chốt</t>
        </is>
      </c>
      <c r="I4" s="8" t="inlineStr">
        <is>
          <t>README 4.3</t>
        </is>
      </c>
    </row>
    <row r="5">
      <c r="A5" s="13" t="inlineStr">
        <is>
          <t>Q04</t>
        </is>
      </c>
      <c r="B5" s="13" t="inlineStr">
        <is>
          <t>22/09</t>
        </is>
      </c>
      <c r="C5" s="8" t="inlineStr">
        <is>
          <t>Trích biến theo mã số VAS, không dò tên chỉ tiêu</t>
        </is>
      </c>
      <c r="D5" s="8" t="inlineStr">
        <is>
          <t>Mã số không bị lỗi chính tả OCR (đã kiểm trên 40 file)</t>
        </is>
      </c>
      <c r="E5" s="13" t="inlineStr">
        <is>
          <t>Nhóm</t>
        </is>
      </c>
      <c r="F5" s="8" t="inlineStr">
        <is>
          <t>Dò khớp tên tiếng Việt</t>
        </is>
      </c>
      <c r="G5" s="13" t="inlineStr">
        <is>
          <t>P1</t>
        </is>
      </c>
      <c r="H5" s="13" t="inlineStr">
        <is>
          <t>Đã chốt</t>
        </is>
      </c>
      <c r="I5" s="8" t="inlineStr">
        <is>
          <t>README mục 5</t>
        </is>
      </c>
    </row>
    <row r="6">
      <c r="A6" s="13" t="inlineStr">
        <is>
          <t>Q05</t>
        </is>
      </c>
      <c r="B6" s="13" t="inlineStr">
        <is>
          <t>≤ 22/09</t>
        </is>
      </c>
      <c r="C6" s="8" t="inlineStr">
        <is>
          <t>Giữ cả cổ phiếu đã huỷ niêm yết</t>
        </is>
      </c>
      <c r="D6" s="8" t="inlineStr">
        <is>
          <t>Tránh survivorship bias</t>
        </is>
      </c>
      <c r="E6" s="13" t="inlineStr">
        <is>
          <t>Nhóm</t>
        </is>
      </c>
      <c r="F6" s="8" t="inlineStr">
        <is>
          <t>Chỉ lấy mã đang niêm yết</t>
        </is>
      </c>
      <c r="G6" s="13" t="inlineStr">
        <is>
          <t>P1</t>
        </is>
      </c>
      <c r="H6" s="13" t="inlineStr">
        <is>
          <t>Đã chốt</t>
        </is>
      </c>
      <c r="I6" s="8" t="inlineStr">
        <is>
          <t>README mục 5</t>
        </is>
      </c>
    </row>
    <row r="7">
      <c r="A7" s="13" t="inlineStr">
        <is>
          <t>Q06</t>
        </is>
      </c>
      <c r="B7" s="13" t="inlineStr">
        <is>
          <t>≤ 22/09</t>
        </is>
      </c>
      <c r="C7" s="8" t="inlineStr">
        <is>
          <t>Baseline API chỉ chạy trên mẫu con 50 DN × 3 năm</t>
        </is>
      </c>
      <c r="D7" s="8" t="inlineStr">
        <is>
          <t>Chi phí API và thời gian</t>
        </is>
      </c>
      <c r="E7" s="13" t="inlineStr">
        <is>
          <t>Nhóm</t>
        </is>
      </c>
      <c r="F7" s="8" t="inlineStr">
        <is>
          <t>Chạy full</t>
        </is>
      </c>
      <c r="G7" s="13" t="inlineStr">
        <is>
          <t>P6</t>
        </is>
      </c>
      <c r="H7" s="13" t="inlineStr">
        <is>
          <t>Đã chốt</t>
        </is>
      </c>
      <c r="I7" s="8" t="inlineStr">
        <is>
          <t>Timelines.xlsx #22</t>
        </is>
      </c>
    </row>
    <row r="8">
      <c r="A8" s="13" t="inlineStr">
        <is>
          <t>Q07</t>
        </is>
      </c>
      <c r="B8" s="13" t="inlineStr">
        <is>
          <t>≤ 22/09</t>
        </is>
      </c>
      <c r="C8" s="8" t="inlineStr">
        <is>
          <t>Ablation chỉ 2 cấu hình: bỏ RAG, bỏ HITL</t>
        </is>
      </c>
      <c r="D8" s="8" t="inlineStr">
        <is>
          <t>Đủ trả lời H2, tiết kiệm thời gian</t>
        </is>
      </c>
      <c r="E8" s="13" t="inlineStr">
        <is>
          <t>Nhóm</t>
        </is>
      </c>
      <c r="F8" s="8" t="inlineStr">
        <is>
          <t>Thêm cấu hình bỏ validator</t>
        </is>
      </c>
      <c r="G8" s="13" t="inlineStr">
        <is>
          <t>P6</t>
        </is>
      </c>
      <c r="H8" s="13" t="inlineStr">
        <is>
          <t>Đã chốt</t>
        </is>
      </c>
      <c r="I8" s="8" t="inlineStr">
        <is>
          <t>Timelines.xlsx #23</t>
        </is>
      </c>
    </row>
    <row r="9">
      <c r="A9" s="13" t="inlineStr">
        <is>
          <t>Q08</t>
        </is>
      </c>
      <c r="B9" s="13" t="inlineStr">
        <is>
          <t>≤ 22/09</t>
        </is>
      </c>
      <c r="C9" s="8" t="inlineStr">
        <is>
          <t>Giảm số công thức sinh từ 200 xuống ~150</t>
        </is>
      </c>
      <c r="D9" s="8" t="inlineStr">
        <is>
          <t>Vừa sức duyệt tay (HITL)</t>
        </is>
      </c>
      <c r="E9" s="13" t="inlineStr">
        <is>
          <t>Nhóm</t>
        </is>
      </c>
      <c r="F9" s="8" t="inlineStr">
        <is>
          <t>200 công thức</t>
        </is>
      </c>
      <c r="G9" s="13" t="inlineStr">
        <is>
          <t>P4</t>
        </is>
      </c>
      <c r="H9" s="13" t="inlineStr">
        <is>
          <t>Đã chốt</t>
        </is>
      </c>
      <c r="I9" s="8" t="inlineStr">
        <is>
          <t>Timelines.xlsx #16</t>
        </is>
      </c>
    </row>
    <row r="10">
      <c r="A10" s="13" t="inlineStr">
        <is>
          <t>Q09</t>
        </is>
      </c>
      <c r="B10" s="13" t="inlineStr">
        <is>
          <t>≤ 22/09</t>
        </is>
      </c>
      <c r="C10" s="8" t="inlineStr">
        <is>
          <t>Trượt CHỐT 2 thì chuyển few-shot + ràng buộc grammar, không đổi mô hình</t>
        </is>
      </c>
      <c r="D10" s="8" t="inlineStr">
        <is>
          <t>Đổi mô hình lần nữa sẽ phải chạy lại P0</t>
        </is>
      </c>
      <c r="E10" s="13" t="inlineStr">
        <is>
          <t>Nhóm</t>
        </is>
      </c>
      <c r="F10" s="8" t="inlineStr">
        <is>
          <t>Đổi mô hình</t>
        </is>
      </c>
      <c r="G10" s="13" t="inlineStr">
        <is>
          <t>P4</t>
        </is>
      </c>
      <c r="H10" s="13" t="inlineStr">
        <is>
          <t>Đã chốt</t>
        </is>
      </c>
      <c r="I10" s="8" t="inlineStr">
        <is>
          <t>Timelines.xlsx #18</t>
        </is>
      </c>
    </row>
    <row r="11">
      <c r="A11" s="13" t="inlineStr">
        <is>
          <t>Q10</t>
        </is>
      </c>
      <c r="B11" s="13" t="inlineStr">
        <is>
          <t>≤ 22/09</t>
        </is>
      </c>
      <c r="C11" s="8" t="inlineStr">
        <is>
          <t>3 thứ không được cắt: mô hình chi phí VN, kiểm định thống kê, đóng băng 30/11</t>
        </is>
      </c>
      <c r="D11" s="8" t="inlineStr">
        <is>
          <t>Là đóng góp riêng / điều kiện để bài không bị bắt lỗi</t>
        </is>
      </c>
      <c r="E11" s="13" t="inlineStr">
        <is>
          <t>Nhóm</t>
        </is>
      </c>
      <c r="F11" s="8" t="inlineStr"/>
      <c r="G11" s="13" t="inlineStr">
        <is>
          <t>P2, P7</t>
        </is>
      </c>
      <c r="H11" s="13" t="inlineStr">
        <is>
          <t>Đã chốt</t>
        </is>
      </c>
      <c r="I11" s="8" t="inlineStr">
        <is>
          <t>README mục 7</t>
        </is>
      </c>
    </row>
    <row r="12">
      <c r="A12" s="13" t="inlineStr">
        <is>
          <t>Q11</t>
        </is>
      </c>
      <c r="B12" s="13" t="inlineStr">
        <is>
          <t>≤ 26/09</t>
        </is>
      </c>
      <c r="C12" s="8" t="inlineStr">
        <is>
          <t>Benchmark P0 chạy trên Kaggle T4, lượng tử NF4 4-bit</t>
        </is>
      </c>
      <c r="D12" s="8" t="inlineStr">
        <is>
          <t>Máy nhà không đủ; T4 là card phổ thông</t>
        </is>
      </c>
      <c r="E12" s="13" t="inlineStr">
        <is>
          <t>Nhóm</t>
        </is>
      </c>
      <c r="F12" s="8" t="inlineStr">
        <is>
          <t>Chạy trên GTX 1660 Ti</t>
        </is>
      </c>
      <c r="G12" s="13" t="inlineStr">
        <is>
          <t>P0</t>
        </is>
      </c>
      <c r="H12" s="13" t="inlineStr">
        <is>
          <t>Đã chốt</t>
        </is>
      </c>
      <c r="I12" s="8" t="inlineStr">
        <is>
          <t>README mục 11</t>
        </is>
      </c>
    </row>
    <row r="13">
      <c r="A13" s="13" t="inlineStr">
        <is>
          <t>Q12</t>
        </is>
      </c>
      <c r="B13" s="13" t="inlineStr">
        <is>
          <t>26/09</t>
        </is>
      </c>
      <c r="C13" s="8" t="inlineStr">
        <is>
          <t>Phân vai: Quân = PM + ML, Thắng = Data (+ RAG, demo), Trung = Quant</t>
        </is>
      </c>
      <c r="D13" s="8" t="inlineStr">
        <is>
          <t>Cân tải theo pha, mỗi việc 1 người chịu trách nhiệm</t>
        </is>
      </c>
      <c r="E13" s="13" t="inlineStr">
        <is>
          <t>Quân</t>
        </is>
      </c>
      <c r="F13" s="8" t="inlineStr"/>
      <c r="G13" s="13" t="inlineStr">
        <is>
          <t>Toàn dự án</t>
        </is>
      </c>
      <c r="H13" s="13" t="inlineStr">
        <is>
          <t>Chờ quyết</t>
        </is>
      </c>
      <c r="I13" s="8" t="inlineStr">
        <is>
          <t>Chốt ở họp khởi động 27/09</t>
        </is>
      </c>
    </row>
    <row r="14">
      <c r="A14" s="13" t="inlineStr">
        <is>
          <t>Q13</t>
        </is>
      </c>
      <c r="B14" s="13" t="inlineStr">
        <is>
          <t>26/09</t>
        </is>
      </c>
      <c r="C14" s="8" t="inlineStr">
        <is>
          <t>Google Sheet là bản cập nhật chính; docs/pm/*.md là bản chụp sau mỗi họp tuần</t>
        </is>
      </c>
      <c r="D14" s="8" t="inlineStr">
        <is>
          <t>Ai cũng sửa được Sheet; md giữ lịch sử trong git</t>
        </is>
      </c>
      <c r="E14" s="13" t="inlineStr">
        <is>
          <t>Quân</t>
        </is>
      </c>
      <c r="F14" s="8" t="inlineStr">
        <is>
          <t>Chỉ dùng md</t>
        </is>
      </c>
      <c r="G14" s="13" t="inlineStr">
        <is>
          <t>Quản lý</t>
        </is>
      </c>
      <c r="H14" s="13" t="inlineStr">
        <is>
          <t>Đã chốt</t>
        </is>
      </c>
      <c r="I14" s="8" t="inlineStr"/>
    </row>
    <row r="15">
      <c r="A15" s="13" t="inlineStr">
        <is>
          <t>Q14</t>
        </is>
      </c>
      <c r="B15" s="13" t="inlineStr">
        <is>
          <t>26/09</t>
        </is>
      </c>
      <c r="C15" s="8" t="inlineStr">
        <is>
          <t>Kéo pipeline backtest (V19) bắt đầu sớm từ 29/09 thay vì 06/10</t>
        </is>
      </c>
      <c r="D15" s="8" t="inlineStr">
        <is>
          <t>Trung đang ít việc trong P0; backtest dựng được trên dữ liệu giả</t>
        </is>
      </c>
      <c r="E15" s="13" t="inlineStr">
        <is>
          <t>Quân</t>
        </is>
      </c>
      <c r="F15" s="8" t="inlineStr">
        <is>
          <t>Giữ 06/10</t>
        </is>
      </c>
      <c r="G15" s="13" t="inlineStr">
        <is>
          <t>P2</t>
        </is>
      </c>
      <c r="H15" s="13" t="inlineStr">
        <is>
          <t>Chờ quyết</t>
        </is>
      </c>
      <c r="I15" s="8" t="inlineStr">
        <is>
          <t>Chốt ở họp khởi động 27/09</t>
        </is>
      </c>
    </row>
    <row r="16">
      <c r="A16" s="13" t="inlineStr">
        <is>
          <t>Q21</t>
        </is>
      </c>
      <c r="B16" s="13" t="inlineStr">
        <is>
          <t>26/09</t>
        </is>
      </c>
      <c r="C16" s="8" t="inlineStr">
        <is>
          <t>C4: Thắng + Trung chấm độc lập cả 80 công thức, Quân làm trọng tài; điểm cuối = trọng tài nếu lệch ≥2, không thì trung bình</t>
        </is>
      </c>
      <c r="D16" s="8" t="inlineStr">
        <is>
          <t>Spec yêu cầu 2 người chấm độc lập và báo đồng thuận; Quân dễ đoán ra mô hình</t>
        </is>
      </c>
      <c r="E16" s="13" t="inlineStr">
        <is>
          <t>Quân</t>
        </is>
      </c>
      <c r="F16" s="8" t="inlineStr">
        <is>
          <t>Chia 3 người mỗi người ~27 mẫu (không đo được đồng thuận)</t>
        </is>
      </c>
      <c r="G16" s="13" t="inlineStr">
        <is>
          <t>P0</t>
        </is>
      </c>
      <c r="H16" s="13" t="inlineStr">
        <is>
          <t>Chờ quyết</t>
        </is>
      </c>
      <c r="I16" s="8" t="inlineStr">
        <is>
          <t>eval/rubric.md mục 7 — chốt ở họp khởi động 27/09</t>
        </is>
      </c>
    </row>
    <row r="17">
      <c r="A17" s="13" t="inlineStr">
        <is>
          <t>Q15</t>
        </is>
      </c>
      <c r="B17" s="13" t="inlineStr"/>
      <c r="C17" s="8" t="inlineStr">
        <is>
          <t>Thuyết minh quý lấy ở đâu? Đề xuất: dùng thuyết minh năm cho 4 quý sau ngày công bố</t>
        </is>
      </c>
      <c r="D17" s="8" t="inlineStr">
        <is>
          <t>H2 cần thuyết minh; crawl + OCR quý quá nặng</t>
        </is>
      </c>
      <c r="E17" s="13" t="inlineStr">
        <is>
          <t>Thầy</t>
        </is>
      </c>
      <c r="F17" s="8" t="inlineStr">
        <is>
          <t>Crawl + OCR PDF quý</t>
        </is>
      </c>
      <c r="G17" s="13" t="inlineStr">
        <is>
          <t>P1, P3</t>
        </is>
      </c>
      <c r="H17" s="13" t="inlineStr">
        <is>
          <t>Chờ quyết</t>
        </is>
      </c>
      <c r="I17" s="8" t="inlineStr">
        <is>
          <t>README mục 10 #1 — họp 01/10</t>
        </is>
      </c>
    </row>
    <row r="18">
      <c r="A18" s="13" t="inlineStr">
        <is>
          <t>Q16</t>
        </is>
      </c>
      <c r="B18" s="13" t="inlineStr"/>
      <c r="C18" s="8" t="inlineStr">
        <is>
          <t>Số liệu quý lấy từ API hay tự OCR? Đề xuất: API</t>
        </is>
      </c>
      <c r="D18" s="8" t="inlineStr">
        <is>
          <t>Parser OCR chỉ đọc trung vị 30/65 biến</t>
        </is>
      </c>
      <c r="E18" s="13" t="inlineStr">
        <is>
          <t>Thầy</t>
        </is>
      </c>
      <c r="F18" s="8" t="inlineStr">
        <is>
          <t>Tự OCR</t>
        </is>
      </c>
      <c r="G18" s="13" t="inlineStr">
        <is>
          <t>P1</t>
        </is>
      </c>
      <c r="H18" s="13" t="inlineStr">
        <is>
          <t>Chờ quyết</t>
        </is>
      </c>
      <c r="I18" s="8" t="inlineStr">
        <is>
          <t>README mục 10 #2 — họp 01/10</t>
        </is>
      </c>
    </row>
    <row r="19">
      <c r="A19" s="13" t="inlineStr">
        <is>
          <t>Q17</t>
        </is>
      </c>
      <c r="B19" s="13" t="inlineStr"/>
      <c r="C19" s="8" t="inlineStr">
        <is>
          <t>Trích con số thật từ thuyết minh thay vì đếm từ khoá?</t>
        </is>
      </c>
      <c r="D19" s="8" t="inlineStr">
        <is>
          <t>Để chứng minh thuyết minh đóng góp gì cho H2</t>
        </is>
      </c>
      <c r="E19" s="13" t="inlineStr">
        <is>
          <t>Thầy</t>
        </is>
      </c>
      <c r="F19" s="8" t="inlineStr">
        <is>
          <t>Giữ đếm từ khoá</t>
        </is>
      </c>
      <c r="G19" s="13" t="inlineStr">
        <is>
          <t>P1, P4</t>
        </is>
      </c>
      <c r="H19" s="13" t="inlineStr">
        <is>
          <t>Chờ quyết</t>
        </is>
      </c>
      <c r="I19" s="8" t="inlineStr">
        <is>
          <t>README mục 10 #3 — họp 01/10</t>
        </is>
      </c>
    </row>
    <row r="20">
      <c r="A20" s="13" t="inlineStr">
        <is>
          <t>Q18</t>
        </is>
      </c>
      <c r="B20" s="13" t="inlineStr"/>
      <c r="C20" s="8" t="inlineStr">
        <is>
          <t>Loại ngân hàng / chứng khoán khỏi universe?</t>
        </is>
      </c>
      <c r="D20" s="8" t="inlineStr">
        <is>
          <t>Mẫu biểu BCTC khác, chỉ 15 biến áp dụng được</t>
        </is>
      </c>
      <c r="E20" s="13" t="inlineStr">
        <is>
          <t>Thầy</t>
        </is>
      </c>
      <c r="F20" s="8" t="inlineStr">
        <is>
          <t>Giữ và xử lý riêng</t>
        </is>
      </c>
      <c r="G20" s="13" t="inlineStr">
        <is>
          <t>P1, P5</t>
        </is>
      </c>
      <c r="H20" s="13" t="inlineStr">
        <is>
          <t>Chờ quyết</t>
        </is>
      </c>
      <c r="I20" s="8" t="inlineStr">
        <is>
          <t>README mục 10 #4 — họp 01/10</t>
        </is>
      </c>
    </row>
    <row r="21">
      <c r="A21" s="13" t="inlineStr">
        <is>
          <t>Q19</t>
        </is>
      </c>
      <c r="B21" s="13" t="inlineStr"/>
      <c r="C21" s="8" t="inlineStr">
        <is>
          <t>Định vị "giải thích được từ thiết kế" + thêm H5 (tuyến tính làm mốc)?</t>
        </is>
      </c>
      <c r="D21" s="8" t="inlineStr">
        <is>
          <t>Ngân hàng, quỹ không chấp nhận hộp đen</t>
        </is>
      </c>
      <c r="E21" s="13" t="inlineStr">
        <is>
          <t>Thầy</t>
        </is>
      </c>
      <c r="F21" s="8" t="inlineStr">
        <is>
          <t>Không thêm H5</t>
        </is>
      </c>
      <c r="G21" s="13" t="inlineStr">
        <is>
          <t>P5, P8</t>
        </is>
      </c>
      <c r="H21" s="13" t="inlineStr">
        <is>
          <t>Chờ quyết</t>
        </is>
      </c>
      <c r="I21" s="8" t="inlineStr">
        <is>
          <t>README mục 10 #5 — họp 01/10</t>
        </is>
      </c>
    </row>
    <row r="22">
      <c r="A22" s="13" t="inlineStr">
        <is>
          <t>Q20</t>
        </is>
      </c>
      <c r="B22" s="13" t="inlineStr"/>
      <c r="C22" s="8" t="inlineStr">
        <is>
          <t>Chấp nhận bộ sinh Gemma-4-E2B (5,1B tổng) hay dùng Qwen3.5-2B?</t>
        </is>
      </c>
      <c r="D22" s="8" t="inlineStr">
        <is>
          <t>Thầy muốn mô hình "vài trăm triệu"</t>
        </is>
      </c>
      <c r="E22" s="13" t="inlineStr">
        <is>
          <t>Thầy</t>
        </is>
      </c>
      <c r="F22" s="8" t="inlineStr">
        <is>
          <t>Qwen3.5-2B</t>
        </is>
      </c>
      <c r="G22" s="13" t="inlineStr">
        <is>
          <t>P4</t>
        </is>
      </c>
      <c r="H22" s="13" t="inlineStr">
        <is>
          <t>Chờ quyết</t>
        </is>
      </c>
      <c r="I22" s="8" t="inlineStr">
        <is>
          <t>README mục 10 #6 — họp 01/10</t>
        </is>
      </c>
    </row>
  </sheetData>
  <autoFilter ref="A1:I22"/>
  <conditionalFormatting sqref="A2:I100">
    <cfRule type="expression" priority="1" dxfId="10">
      <formula>$H2="Chờ quyết"</formula>
    </cfRule>
    <cfRule type="expression" priority="2" dxfId="14">
      <formula>$H2="Đã thay đổi"</formula>
    </cfRule>
  </conditionalFormatting>
  <dataValidations count="1">
    <dataValidation sqref="H2:H100" showDropDown="0" showInputMessage="0" showErrorMessage="0" allowBlank="1" errorTitle="Giá trị không hợp lệ" error="Chọn giá trị trong danh sách" type="list">
      <formula1>"Đã chốt,Chờ quyết,Đã thay đổi"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10" customWidth="1" min="4" max="4"/>
    <col width="36" customWidth="1" min="5" max="5"/>
    <col width="30" customWidth="1" min="6" max="6"/>
    <col width="14" customWidth="1" min="7" max="7"/>
    <col width="16" customWidth="1" min="8" max="8"/>
    <col width="56" customWidth="1" min="9" max="9"/>
  </cols>
  <sheetData>
    <row r="1" ht="30" customHeight="1">
      <c r="A1" s="6" t="inlineStr">
        <is>
          <t>Ngày</t>
        </is>
      </c>
      <c r="B1" s="6" t="inlineStr">
        <is>
          <t>Loại</t>
        </is>
      </c>
      <c r="C1" s="6" t="inlineStr">
        <is>
          <t>Người dự</t>
        </is>
      </c>
      <c r="D1" s="6" t="inlineStr">
        <is>
          <t>Người ghi</t>
        </is>
      </c>
      <c r="E1" s="6" t="inlineStr">
        <is>
          <t>Đã xong từ lần trước</t>
        </is>
      </c>
      <c r="F1" s="6" t="inlineStr">
        <is>
          <t>Đang kẹt</t>
        </is>
      </c>
      <c r="G1" s="6" t="inlineStr">
        <is>
          <t>Quyết định (ID)</t>
        </is>
      </c>
      <c r="H1" s="6" t="inlineStr">
        <is>
          <t>Việc mới / đổi (ID)</t>
        </is>
      </c>
      <c r="I1" s="6" t="inlineStr">
        <is>
          <t>Ghi chú / link biên bản</t>
        </is>
      </c>
    </row>
    <row r="2">
      <c r="A2" s="9" t="n">
        <v>46292</v>
      </c>
      <c r="B2" s="13" t="inlineStr">
        <is>
          <t>Khởi động (nhóm)</t>
        </is>
      </c>
      <c r="C2" s="8" t="inlineStr">
        <is>
          <t>Quân, Thắng, Trung</t>
        </is>
      </c>
      <c r="D2" s="13" t="inlineStr">
        <is>
          <t>Quân</t>
        </is>
      </c>
      <c r="E2" s="8" t="inlineStr"/>
      <c r="F2" s="8" t="inlineStr"/>
      <c r="G2" s="13" t="inlineStr">
        <is>
          <t>Q12, Q14</t>
        </is>
      </c>
      <c r="H2" s="13" t="inlineStr">
        <is>
          <t>V02</t>
        </is>
      </c>
      <c r="I2" s="8" t="inlineStr">
        <is>
          <t>Nội dung: giới thiệu Sheet, thống nhất phân công, chốt giờ họp tuần, giao V14 cho Thắng và V19 cho Trung</t>
        </is>
      </c>
    </row>
    <row r="3">
      <c r="A3" s="9" t="n">
        <v>46296</v>
      </c>
      <c r="B3" s="13" t="inlineStr">
        <is>
          <t>Họp thầy</t>
        </is>
      </c>
      <c r="C3" s="8" t="inlineStr">
        <is>
          <t>Quân, Thắng, Trung, GVHD</t>
        </is>
      </c>
      <c r="D3" s="13" t="inlineStr">
        <is>
          <t>Trung</t>
        </is>
      </c>
      <c r="E3" s="8" t="inlineStr"/>
      <c r="F3" s="8" t="inlineStr"/>
      <c r="G3" s="13" t="inlineStr">
        <is>
          <t>Q15–Q20</t>
        </is>
      </c>
      <c r="H3" s="13" t="inlineStr">
        <is>
          <t>V11, V12</t>
        </is>
      </c>
      <c r="I3" s="8" t="inlineStr">
        <is>
          <t>Chương trình họp: docs/pm/bien_ban/2026-10-01_hop_thay.md</t>
        </is>
      </c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  <row r="12">
      <c r="A12" s="15" t="n"/>
    </row>
    <row r="13">
      <c r="A13" s="15" t="n"/>
    </row>
    <row r="14">
      <c r="A14" s="15" t="n"/>
    </row>
    <row r="15">
      <c r="A15" s="15" t="n"/>
    </row>
    <row r="16">
      <c r="A16" s="15" t="n"/>
    </row>
    <row r="17">
      <c r="A17" s="15" t="n"/>
    </row>
    <row r="18">
      <c r="A18" s="15" t="n"/>
    </row>
    <row r="19">
      <c r="A19" s="15" t="n"/>
    </row>
    <row r="20">
      <c r="A20" s="15" t="n"/>
    </row>
    <row r="21">
      <c r="A21" s="15" t="n"/>
    </row>
    <row r="22">
      <c r="A22" s="15" t="n"/>
    </row>
    <row r="23">
      <c r="A23" s="15" t="n"/>
    </row>
    <row r="24">
      <c r="A24" s="15" t="n"/>
    </row>
    <row r="25">
      <c r="A25" s="15" t="n"/>
    </row>
    <row r="26">
      <c r="A26" s="15" t="n"/>
    </row>
    <row r="27">
      <c r="A27" s="15" t="n"/>
    </row>
    <row r="28">
      <c r="A28" s="15" t="n"/>
    </row>
    <row r="29">
      <c r="A29" s="15" t="n"/>
    </row>
    <row r="30">
      <c r="A30" s="15" t="n"/>
    </row>
    <row r="31">
      <c r="A31" s="15" t="n"/>
    </row>
    <row r="32">
      <c r="A32" s="15" t="n"/>
    </row>
    <row r="33">
      <c r="A33" s="15" t="n"/>
    </row>
    <row r="34">
      <c r="A34" s="15" t="n"/>
    </row>
    <row r="35">
      <c r="A35" s="15" t="n"/>
    </row>
    <row r="36">
      <c r="A36" s="15" t="n"/>
    </row>
    <row r="37">
      <c r="A37" s="15" t="n"/>
    </row>
    <row r="38">
      <c r="A38" s="15" t="n"/>
    </row>
    <row r="39">
      <c r="A39" s="15" t="n"/>
    </row>
    <row r="40">
      <c r="A40" s="15" t="n"/>
    </row>
    <row r="41">
      <c r="A41" s="15" t="n"/>
    </row>
  </sheetData>
  <dataValidations count="2">
    <dataValidation sqref="B2:B100" showDropDown="0" showInputMessage="0" showErrorMessage="0" allowBlank="1" errorTitle="Giá trị không hợp lệ" error="Chọn giá trị trong danh sách" type="list">
      <formula1>"Khởi động (nhóm),Họp tuần,Họp thầy,Họp gấp"</formula1>
    </dataValidation>
    <dataValidation sqref="D2:D100" showDropDown="0" showInputMessage="0" showErrorMessage="0" allowBlank="1" errorTitle="Giá trị không hợp lệ" error="Chọn giá trị trong danh sách" type="list">
      <formula1>"Quân,Thắng,Trung"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40" customWidth="1" min="4" max="4"/>
    <col width="36" customWidth="1" min="5" max="5"/>
    <col width="14" customWidth="1" min="6" max="6"/>
  </cols>
  <sheetData>
    <row r="1" ht="30" customHeight="1">
      <c r="A1" s="6" t="inlineStr">
        <is>
          <t>Ngày</t>
        </is>
      </c>
      <c r="B1" s="6" t="inlineStr">
        <is>
          <t>Người</t>
        </is>
      </c>
      <c r="C1" s="6" t="inlineStr">
        <is>
          <t>Hôm qua xong gì</t>
        </is>
      </c>
      <c r="D1" s="6" t="inlineStr">
        <is>
          <t>Hôm nay làm gì</t>
        </is>
      </c>
      <c r="E1" s="6" t="inlineStr">
        <is>
          <t>Đang vướng gì</t>
        </is>
      </c>
      <c r="F1" s="6" t="inlineStr">
        <is>
          <t>Cần ai giúp</t>
        </is>
      </c>
    </row>
    <row r="2">
      <c r="A2" s="9" t="n">
        <v>46291</v>
      </c>
      <c r="B2" s="13" t="inlineStr">
        <is>
          <t>Quân</t>
        </is>
      </c>
      <c r="C2" s="8" t="inlineStr">
        <is>
          <t>Chốt kết quả benchmark P0</t>
        </is>
      </c>
      <c r="D2" s="8" t="inlineStr">
        <is>
          <t>Dựng bộ quản lý dự án, chuẩn bị họp khởi động</t>
        </is>
      </c>
      <c r="E2" s="8" t="inlineStr">
        <is>
          <t>—</t>
        </is>
      </c>
      <c r="F2" s="13" t="inlineStr">
        <is>
          <t>—</t>
        </is>
      </c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  <row r="12">
      <c r="A12" s="15" t="n"/>
    </row>
    <row r="13">
      <c r="A13" s="15" t="n"/>
    </row>
    <row r="14">
      <c r="A14" s="15" t="n"/>
    </row>
    <row r="15">
      <c r="A15" s="15" t="n"/>
    </row>
    <row r="16">
      <c r="A16" s="15" t="n"/>
    </row>
    <row r="17">
      <c r="A17" s="15" t="n"/>
    </row>
    <row r="18">
      <c r="A18" s="15" t="n"/>
    </row>
    <row r="19">
      <c r="A19" s="15" t="n"/>
    </row>
    <row r="20">
      <c r="A20" s="15" t="n"/>
    </row>
    <row r="21">
      <c r="A21" s="15" t="n"/>
    </row>
    <row r="22">
      <c r="A22" s="15" t="n"/>
    </row>
    <row r="23">
      <c r="A23" s="15" t="n"/>
    </row>
    <row r="24">
      <c r="A24" s="15" t="n"/>
    </row>
    <row r="25">
      <c r="A25" s="15" t="n"/>
    </row>
    <row r="26">
      <c r="A26" s="15" t="n"/>
    </row>
    <row r="27">
      <c r="A27" s="15" t="n"/>
    </row>
    <row r="28">
      <c r="A28" s="15" t="n"/>
    </row>
    <row r="29">
      <c r="A29" s="15" t="n"/>
    </row>
    <row r="30">
      <c r="A30" s="15" t="n"/>
    </row>
    <row r="31">
      <c r="A31" s="15" t="n"/>
    </row>
    <row r="32">
      <c r="A32" s="15" t="n"/>
    </row>
    <row r="33">
      <c r="A33" s="15" t="n"/>
    </row>
    <row r="34">
      <c r="A34" s="15" t="n"/>
    </row>
    <row r="35">
      <c r="A35" s="15" t="n"/>
    </row>
    <row r="36">
      <c r="A36" s="15" t="n"/>
    </row>
    <row r="37">
      <c r="A37" s="15" t="n"/>
    </row>
    <row r="38">
      <c r="A38" s="15" t="n"/>
    </row>
    <row r="39">
      <c r="A39" s="15" t="n"/>
    </row>
    <row r="40">
      <c r="A40" s="15" t="n"/>
    </row>
    <row r="41">
      <c r="A41" s="15" t="n"/>
    </row>
  </sheetData>
  <conditionalFormatting sqref="E2:E100">
    <cfRule type="expression" priority="1" dxfId="3">
      <formula>AND(E2&lt;&gt;"",E2&lt;&gt;"—")</formula>
    </cfRule>
  </conditionalFormatting>
  <dataValidations count="2">
    <dataValidation sqref="B2:B100" showDropDown="0" showInputMessage="0" showErrorMessage="0" allowBlank="1" errorTitle="Giá trị không hợp lệ" error="Chọn giá trị trong danh sách" type="list">
      <formula1>"Quân,Thắng,Trung"</formula1>
    </dataValidation>
    <dataValidation sqref="F2:F100" showDropDown="0" showInputMessage="0" showErrorMessage="0" allowBlank="1" errorTitle="Giá trị không hợp lệ" error="Chọn giá trị trong danh sách" type="list">
      <formula1>"Quân,Thắng,Trung,—"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Cách dùng bộ quản lý dự án Nico-tick</t>
        </is>
      </c>
    </row>
    <row r="2">
      <c r="A2" t="inlineStr"/>
    </row>
    <row r="3">
      <c r="A3" s="5" t="inlineStr">
        <is>
          <t>CÁC TAB</t>
        </is>
      </c>
    </row>
    <row r="4">
      <c r="A4" s="2" t="inlineStr">
        <is>
          <t>Tổng quan — mốc sắp tới + số việc mỗi người. Tự tính, không sửa.</t>
        </is>
      </c>
    </row>
    <row r="5">
      <c r="A5" s="2" t="inlineStr">
        <is>
          <t>Việc — mọi việc của dự án. Người phụ trách tự cập nhật Trạng thái, Hạn mới, Ghi chú.</t>
        </is>
      </c>
    </row>
    <row r="6">
      <c r="A6" s="2" t="inlineStr">
        <is>
          <t>Phân công, Ma trận — ai làm gì, pha nào ai chịu trách nhiệm.</t>
        </is>
      </c>
    </row>
    <row r="7">
      <c r="A7" s="2" t="inlineStr">
        <is>
          <t>Rủi ro — thứ có thể hỏng, dấu hiệu sớm, phương án. Xem lại mỗi buổi họp tuần.</t>
        </is>
      </c>
    </row>
    <row r="8">
      <c r="A8" s="2" t="inlineStr">
        <is>
          <t>Quyết định — đã chốt gì, ai chốt, vì sao. Đổi ý thì đặt dòng cũ "Đã thay đổi" và thêm dòng mới, không xoá.</t>
        </is>
      </c>
    </row>
    <row r="9">
      <c r="A9" s="2" t="inlineStr">
        <is>
          <t>Họp — nhật ký các buổi họp. Biên bản dài để trong docs/pm/bien_ban/.</t>
        </is>
      </c>
    </row>
    <row r="10">
      <c r="A10" s="2" t="inlineStr">
        <is>
          <t>Check-in — mỗi người 1 dòng/ngày (hoặc nhắn nhóm chat theo đúng 3 câu này).</t>
        </is>
      </c>
    </row>
    <row r="11">
      <c r="A11" t="inlineStr"/>
    </row>
    <row r="12">
      <c r="A12" s="5" t="inlineStr">
        <is>
          <t>CỘT XÁM = TỰ TÍNH, ĐỪNG GÕ ĐÈ</t>
        </is>
      </c>
    </row>
    <row r="13">
      <c r="A13" s="2" t="inlineStr">
        <is>
          <t>Trễ? (tab Việc), Điểm (tab Rủi ro), toàn bộ tab Tổng quan. Ô vàng = cần điền.</t>
        </is>
      </c>
    </row>
    <row r="14">
      <c r="A14" t="inlineStr"/>
    </row>
    <row r="15">
      <c r="A15" s="5" t="inlineStr">
        <is>
          <t>TRẠNG THÁI VIỆC</t>
        </is>
      </c>
    </row>
    <row r="16">
      <c r="A16" s="2" t="inlineStr">
        <is>
          <t>Cần làm → Đang làm → Chờ duyệt → Xong.   Kẹt = đang chờ người khác / thiếu thứ gì đó.   Huỷ = không làm nữa (ghi lý do).</t>
        </is>
      </c>
    </row>
    <row r="17">
      <c r="A17" t="inlineStr"/>
    </row>
    <row r="18">
      <c r="A18" s="5" t="inlineStr">
        <is>
          <t>LUẬT CHƠI</t>
        </is>
      </c>
    </row>
    <row r="19">
      <c r="A19" s="2" t="inlineStr">
        <is>
          <t>1. Mỗi việc đúng 1 người phụ trách. Người khác chỉ là Hỗ trợ.</t>
        </is>
      </c>
    </row>
    <row r="20">
      <c r="A20" s="2" t="inlineStr">
        <is>
          <t>2. Việc dài hơn 3 ngày thì tách nhỏ.</t>
        </is>
      </c>
    </row>
    <row r="21">
      <c r="A21" s="2" t="inlineStr">
        <is>
          <t>3. Đổi trạng thái ngay khi đổi, không đợi đến buổi họp.</t>
        </is>
      </c>
    </row>
    <row r="22">
      <c r="A22" s="2" t="inlineStr">
        <is>
          <t>4. Kẹt quá 1 ngày → đặt Kẹt, ghi lý do vào Ghi chú, nhắn nhóm.</t>
        </is>
      </c>
    </row>
    <row r="23">
      <c r="A23" s="2" t="inlineStr">
        <is>
          <t>5. Không kịp hạn → điền Hạn mới + lý do. KHÔNG sửa cột Hạn (để còn đo mình trễ bao nhiêu so với kế hoạch gốc).</t>
        </is>
      </c>
    </row>
    <row r="24">
      <c r="A24" s="2" t="inlineStr">
        <is>
          <t>6. Sau khoá đề cương 03/10: ý mới ghi vào Ghi chú là "để sau", chỉ thêm việc khi thầy yêu cầu hoặc cả nhóm đồng ý (ghi vào tab Quyết định).</t>
        </is>
      </c>
    </row>
    <row r="25">
      <c r="A25" t="inlineStr"/>
    </row>
    <row r="26">
      <c r="A26" s="5" t="inlineStr">
        <is>
          <t>RỦI RO</t>
        </is>
      </c>
    </row>
    <row r="27">
      <c r="A27" s="2" t="inlineStr">
        <is>
          <t>Khả năng và Ảnh hưởng chấm 1 (thấp) – 3 (cao). Điểm = Khả năng × Ảnh hưởng. ≥6 đỏ: bàn mỗi tuần. 3–5 vàng: theo dõi. ≤2 xanh.</t>
        </is>
      </c>
    </row>
    <row r="28">
      <c r="A28" t="inlineStr"/>
    </row>
    <row r="29">
      <c r="A29" s="5" t="inlineStr">
        <is>
          <t>NHỊP LÀM VIỆC</t>
        </is>
      </c>
    </row>
    <row r="30">
      <c r="A30" s="2" t="inlineStr">
        <is>
          <t>Hằng ngày: check-in 3 câu — hôm qua xong gì / hôm nay làm gì / vướng gì.</t>
        </is>
      </c>
    </row>
    <row r="31">
      <c r="A31" s="2" t="inlineStr">
        <is>
          <t>Hằng tuần (30 phút, giờ cố định): xem Tổng quan → việc trễ và kẹt → chia việc tuần tới → rủi ro đỏ → ghi tab Họp.</t>
        </is>
      </c>
    </row>
    <row r="32">
      <c r="A32" s="2" t="inlineStr">
        <is>
          <t>Họp thầy: gửi tài liệu + câu hỏi trước 1–2 ngày; gửi biên bản trong 24 giờ sau họp; cập nhật tab Quyết định.</t>
        </is>
      </c>
    </row>
    <row r="33">
      <c r="A33" s="2" t="inlineStr">
        <is>
          <t>Người ghi biên bản luân phiên giữa 3 người.</t>
        </is>
      </c>
    </row>
    <row r="34">
      <c r="A34" t="inlineStr"/>
    </row>
    <row r="35">
      <c r="A35" s="5" t="inlineStr">
        <is>
          <t>ĐỒNG BỘ SANG REPO</t>
        </is>
      </c>
    </row>
    <row r="36">
      <c r="A36" s="2" t="inlineStr">
        <is>
          <t>Sau mỗi họp tuần, Quân: Tệp → Tải xuống → .xlsx, rồi chạy  python docs/pm/xlsx_to_md.py &lt;file.xlsx&gt;  và commit docs/pm/.</t>
        </is>
      </c>
    </row>
    <row r="37">
      <c r="A37" s="2" t="inlineStr">
        <is>
          <t>File Timelines.xlsx giữ nguyên làm kế hoạch gốc (baseline). Theo dõi hằng ngày dùng Sheet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2026-09-26T08:14:18Z</dcterms:created>
  <dcterms:modified xsi:type="dcterms:W3CDTF">2026-09-26T08:14:18Z</dcterms:modified>
</cp:coreProperties>
</file>